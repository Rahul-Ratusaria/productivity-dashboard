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79117910-C055-43C8-BF7B-8FF7B74F7A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Task_Data" sheetId="2" r:id="rId2"/>
    <sheet name="Lists" sheetId="3" r:id="rId3"/>
    <sheet name="Sett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  <c r="AT26" i="1" a="1"/>
  <c r="AT26" i="1" s="1"/>
  <c r="AT27" i="1" a="1"/>
  <c r="AT27" i="1" s="1"/>
  <c r="AT28" i="1" a="1"/>
  <c r="AT28" i="1" s="1"/>
  <c r="AT29" i="1" a="1"/>
  <c r="AT29" i="1" s="1"/>
  <c r="AT25" i="1" a="1"/>
  <c r="AT25" i="1" s="1"/>
  <c r="AR25" i="1" a="1"/>
  <c r="AR25" i="1"/>
  <c r="AR26" i="1" a="1"/>
  <c r="AR26" i="1" s="1"/>
  <c r="AR27" i="1" a="1"/>
  <c r="AR27" i="1" s="1"/>
  <c r="AR28" i="1" a="1"/>
  <c r="AR28" i="1" s="1"/>
  <c r="AR29" i="1" a="1"/>
  <c r="AR29" i="1" s="1"/>
  <c r="AR30" i="1" a="1"/>
  <c r="AR30" i="1" s="1"/>
  <c r="AR31" i="1" a="1"/>
  <c r="AR31" i="1" s="1"/>
  <c r="AR32" i="1" a="1"/>
  <c r="AR32" i="1" s="1"/>
  <c r="AR33" i="1" a="1"/>
  <c r="AR33" i="1" s="1"/>
  <c r="AR34" i="1" a="1"/>
  <c r="AR34" i="1" s="1"/>
  <c r="AR35" i="1" a="1"/>
  <c r="AR35" i="1" s="1"/>
  <c r="AR36" i="1" a="1"/>
  <c r="AR36" i="1" s="1"/>
  <c r="AR37" i="1" a="1"/>
  <c r="AR37" i="1" s="1"/>
  <c r="AR38" i="1" a="1"/>
  <c r="AR38" i="1" s="1"/>
  <c r="AR39" i="1" a="1"/>
  <c r="AR39" i="1" s="1"/>
  <c r="AR40" i="1" a="1"/>
  <c r="AR40" i="1" s="1"/>
  <c r="AR41" i="1" a="1"/>
  <c r="AR41" i="1" s="1"/>
  <c r="AR42" i="1" a="1"/>
  <c r="AR42" i="1" s="1"/>
  <c r="AR43" i="1" a="1"/>
  <c r="AR43" i="1" s="1"/>
  <c r="AR44" i="1" a="1"/>
  <c r="AR44" i="1" s="1"/>
  <c r="AR45" i="1" a="1"/>
  <c r="AR45" i="1" s="1"/>
  <c r="AR46" i="1" a="1"/>
  <c r="AR46" i="1" s="1"/>
  <c r="AR47" i="1" a="1"/>
  <c r="AR47" i="1" s="1"/>
  <c r="AR48" i="1" a="1"/>
  <c r="AR48" i="1" s="1"/>
  <c r="AR49" i="1" a="1"/>
  <c r="AR49" i="1" s="1"/>
  <c r="AR50" i="1" a="1"/>
  <c r="AR50" i="1" s="1"/>
  <c r="AR51" i="1" a="1"/>
  <c r="AR51" i="1" s="1"/>
  <c r="AR52" i="1" a="1"/>
  <c r="AR52" i="1" s="1"/>
  <c r="AR53" i="1" a="1"/>
  <c r="AR53" i="1" s="1"/>
  <c r="AR54" i="1" a="1"/>
  <c r="AR54" i="1" s="1"/>
  <c r="AR55" i="1" a="1"/>
  <c r="AR55" i="1" s="1"/>
  <c r="AR56" i="1" a="1"/>
  <c r="AR56" i="1" s="1"/>
  <c r="AR57" i="1" a="1"/>
  <c r="AR57" i="1" s="1"/>
  <c r="AR58" i="1" a="1"/>
  <c r="AR58" i="1" s="1"/>
  <c r="AR59" i="1" a="1"/>
  <c r="AR59" i="1" s="1"/>
  <c r="AR60" i="1" a="1"/>
  <c r="AR60" i="1" s="1"/>
  <c r="AR61" i="1" a="1"/>
  <c r="AR61" i="1" s="1"/>
  <c r="AR62" i="1" a="1"/>
  <c r="AR62" i="1" s="1"/>
  <c r="AR63" i="1" a="1"/>
  <c r="AR63" i="1" s="1"/>
  <c r="AR64" i="1" a="1"/>
  <c r="AR64" i="1" s="1"/>
  <c r="AR65" i="1" a="1"/>
  <c r="AR65" i="1" s="1"/>
  <c r="AR66" i="1" a="1"/>
  <c r="AR66" i="1" s="1"/>
  <c r="AR67" i="1" a="1"/>
  <c r="AR67" i="1" s="1"/>
  <c r="AR68" i="1" a="1"/>
  <c r="AR68" i="1" s="1"/>
  <c r="AR69" i="1" a="1"/>
  <c r="AR69" i="1" s="1"/>
  <c r="BQ51" i="2"/>
  <c r="BP51" i="2"/>
  <c r="BL51" i="2"/>
  <c r="BI51" i="2"/>
  <c r="BH51" i="2"/>
  <c r="BF51" i="2"/>
  <c r="BE51" i="2"/>
  <c r="BD51" i="2"/>
  <c r="AZ51" i="2"/>
  <c r="AY51" i="2"/>
  <c r="AW51" i="2"/>
  <c r="AV51" i="2"/>
  <c r="AT51" i="2"/>
  <c r="AS51" i="2"/>
  <c r="AN51" i="2"/>
  <c r="BO51" i="2"/>
  <c r="BN51" i="2"/>
  <c r="BM51" i="2"/>
  <c r="BK51" i="2"/>
  <c r="BJ51" i="2"/>
  <c r="BG51" i="2"/>
  <c r="BC51" i="2"/>
  <c r="BB51" i="2"/>
  <c r="BA51" i="2"/>
  <c r="AX51" i="2"/>
  <c r="AU51" i="2"/>
  <c r="AR51" i="2"/>
  <c r="AQ51" i="2"/>
  <c r="AP51" i="2"/>
  <c r="AO51" i="2"/>
  <c r="AM51" i="2"/>
  <c r="F51" i="2"/>
  <c r="E51" i="2"/>
  <c r="D51" i="2"/>
  <c r="C51" i="2"/>
  <c r="B51" i="2"/>
  <c r="A51" i="2"/>
  <c r="BT51" i="2" s="1" a="1"/>
  <c r="BT51" i="2" s="1"/>
  <c r="BQ50" i="2"/>
  <c r="BN50" i="2"/>
  <c r="BM50" i="2"/>
  <c r="BL50" i="2"/>
  <c r="BI50" i="2"/>
  <c r="BF50" i="2"/>
  <c r="BE50" i="2"/>
  <c r="BD50" i="2"/>
  <c r="BC50" i="2"/>
  <c r="BB50" i="2"/>
  <c r="AW50" i="2"/>
  <c r="AT50" i="2"/>
  <c r="AS50" i="2"/>
  <c r="AR50" i="2"/>
  <c r="AQ50" i="2"/>
  <c r="AP50" i="2"/>
  <c r="BP50" i="2"/>
  <c r="BO50" i="2"/>
  <c r="BK50" i="2"/>
  <c r="BJ50" i="2"/>
  <c r="BH50" i="2"/>
  <c r="BG50" i="2"/>
  <c r="BA50" i="2"/>
  <c r="AZ50" i="2"/>
  <c r="AY50" i="2"/>
  <c r="AX50" i="2"/>
  <c r="AV50" i="2"/>
  <c r="AU50" i="2"/>
  <c r="AO50" i="2"/>
  <c r="AN50" i="2"/>
  <c r="AM50" i="2"/>
  <c r="F50" i="2"/>
  <c r="E50" i="2"/>
  <c r="D50" i="2"/>
  <c r="C50" i="2"/>
  <c r="B50" i="2"/>
  <c r="A50" i="2"/>
  <c r="BT50" i="2" s="1" a="1"/>
  <c r="BT50" i="2" s="1"/>
  <c r="BO49" i="2"/>
  <c r="BN49" i="2"/>
  <c r="BL49" i="2"/>
  <c r="BK49" i="2"/>
  <c r="BJ49" i="2"/>
  <c r="BI49" i="2"/>
  <c r="BF49" i="2"/>
  <c r="BE49" i="2"/>
  <c r="BC49" i="2"/>
  <c r="BB49" i="2"/>
  <c r="AY49" i="2"/>
  <c r="AW49" i="2"/>
  <c r="AT49" i="2"/>
  <c r="AS49" i="2"/>
  <c r="AQ49" i="2"/>
  <c r="AP49" i="2"/>
  <c r="AO49" i="2"/>
  <c r="AN49" i="2"/>
  <c r="AM49" i="2"/>
  <c r="BQ49" i="2"/>
  <c r="BP49" i="2"/>
  <c r="BM49" i="2"/>
  <c r="BH49" i="2"/>
  <c r="BG49" i="2"/>
  <c r="BD49" i="2"/>
  <c r="BA49" i="2"/>
  <c r="AZ49" i="2"/>
  <c r="AX49" i="2"/>
  <c r="AV49" i="2"/>
  <c r="AU49" i="2"/>
  <c r="AR49" i="2"/>
  <c r="F49" i="2"/>
  <c r="E49" i="2"/>
  <c r="D49" i="2"/>
  <c r="C49" i="2"/>
  <c r="B49" i="2"/>
  <c r="A49" i="2"/>
  <c r="BT49" i="2" s="1" a="1"/>
  <c r="BT49" i="2" s="1"/>
  <c r="BO48" i="2"/>
  <c r="BN48" i="2"/>
  <c r="BL48" i="2"/>
  <c r="BK48" i="2"/>
  <c r="BH48" i="2"/>
  <c r="BF48" i="2"/>
  <c r="BC48" i="2"/>
  <c r="AZ48" i="2"/>
  <c r="AY48" i="2"/>
  <c r="AV48" i="2"/>
  <c r="AU48" i="2"/>
  <c r="AT48" i="2"/>
  <c r="AQ48" i="2"/>
  <c r="AP48" i="2"/>
  <c r="AN48" i="2"/>
  <c r="AM48" i="2"/>
  <c r="BQ48" i="2"/>
  <c r="BP48" i="2"/>
  <c r="BM48" i="2"/>
  <c r="BJ48" i="2"/>
  <c r="BI48" i="2"/>
  <c r="BG48" i="2"/>
  <c r="BE48" i="2"/>
  <c r="BD48" i="2"/>
  <c r="BB48" i="2"/>
  <c r="BA48" i="2"/>
  <c r="AX48" i="2"/>
  <c r="AW48" i="2"/>
  <c r="AS48" i="2"/>
  <c r="AR48" i="2"/>
  <c r="AO48" i="2"/>
  <c r="F48" i="2"/>
  <c r="E48" i="2"/>
  <c r="D48" i="2"/>
  <c r="C48" i="2"/>
  <c r="B48" i="2"/>
  <c r="A48" i="2"/>
  <c r="BT48" i="2" s="1" a="1"/>
  <c r="BT48" i="2" s="1"/>
  <c r="BQ47" i="2"/>
  <c r="BK47" i="2"/>
  <c r="BI47" i="2"/>
  <c r="BH47" i="2"/>
  <c r="BG47" i="2"/>
  <c r="BF47" i="2"/>
  <c r="BE47" i="2"/>
  <c r="AZ47" i="2"/>
  <c r="AY47" i="2"/>
  <c r="AW47" i="2"/>
  <c r="AV47" i="2"/>
  <c r="AU47" i="2"/>
  <c r="AT47" i="2"/>
  <c r="AS47" i="2"/>
  <c r="BP47" i="2"/>
  <c r="BO47" i="2"/>
  <c r="BN47" i="2"/>
  <c r="BM47" i="2"/>
  <c r="BL47" i="2"/>
  <c r="BJ47" i="2"/>
  <c r="BD47" i="2"/>
  <c r="BC47" i="2"/>
  <c r="BB47" i="2"/>
  <c r="BA47" i="2"/>
  <c r="AX47" i="2"/>
  <c r="AR47" i="2"/>
  <c r="AQ47" i="2"/>
  <c r="AP47" i="2"/>
  <c r="AO47" i="2"/>
  <c r="AN47" i="2"/>
  <c r="AM47" i="2"/>
  <c r="F47" i="2"/>
  <c r="E47" i="2"/>
  <c r="D47" i="2"/>
  <c r="C47" i="2"/>
  <c r="B47" i="2"/>
  <c r="A47" i="2"/>
  <c r="BT47" i="2" s="1" a="1"/>
  <c r="BT47" i="2" s="1"/>
  <c r="BQ46" i="2"/>
  <c r="BP46" i="2"/>
  <c r="BO46" i="2"/>
  <c r="BN46" i="2"/>
  <c r="BI46" i="2"/>
  <c r="BH46" i="2"/>
  <c r="BF46" i="2"/>
  <c r="BE46" i="2"/>
  <c r="BC46" i="2"/>
  <c r="BB46" i="2"/>
  <c r="BA46" i="2"/>
  <c r="AZ46" i="2"/>
  <c r="AW46" i="2"/>
  <c r="AV46" i="2"/>
  <c r="AT46" i="2"/>
  <c r="AS46" i="2"/>
  <c r="AP46" i="2"/>
  <c r="BM46" i="2"/>
  <c r="BL46" i="2"/>
  <c r="BK46" i="2"/>
  <c r="BJ46" i="2"/>
  <c r="BG46" i="2"/>
  <c r="BD46" i="2"/>
  <c r="AY46" i="2"/>
  <c r="AX46" i="2"/>
  <c r="AU46" i="2"/>
  <c r="AR46" i="2"/>
  <c r="AQ46" i="2"/>
  <c r="AO46" i="2"/>
  <c r="AN46" i="2"/>
  <c r="AM46" i="2"/>
  <c r="F46" i="2"/>
  <c r="E46" i="2"/>
  <c r="D46" i="2"/>
  <c r="C46" i="2"/>
  <c r="B46" i="2"/>
  <c r="A46" i="2"/>
  <c r="BT46" i="2" s="1" a="1"/>
  <c r="BT46" i="2" s="1"/>
  <c r="BQ45" i="2"/>
  <c r="BO45" i="2"/>
  <c r="BN45" i="2"/>
  <c r="BK45" i="2"/>
  <c r="BI45" i="2"/>
  <c r="BC45" i="2"/>
  <c r="BB45" i="2"/>
  <c r="AZ45" i="2"/>
  <c r="AY45" i="2"/>
  <c r="AX45" i="2"/>
  <c r="AW45" i="2"/>
  <c r="AQ45" i="2"/>
  <c r="AP45" i="2"/>
  <c r="AM45" i="2"/>
  <c r="BP45" i="2"/>
  <c r="BM45" i="2"/>
  <c r="BL45" i="2"/>
  <c r="BJ45" i="2"/>
  <c r="BH45" i="2"/>
  <c r="BG45" i="2"/>
  <c r="BF45" i="2"/>
  <c r="BE45" i="2"/>
  <c r="BD45" i="2"/>
  <c r="BA45" i="2"/>
  <c r="AV45" i="2"/>
  <c r="AU45" i="2"/>
  <c r="AT45" i="2"/>
  <c r="AS45" i="2"/>
  <c r="AR45" i="2"/>
  <c r="AO45" i="2"/>
  <c r="AN45" i="2"/>
  <c r="F45" i="2"/>
  <c r="E45" i="2"/>
  <c r="D45" i="2"/>
  <c r="C45" i="2"/>
  <c r="B45" i="2"/>
  <c r="A45" i="2"/>
  <c r="BT45" i="2" s="1" a="1"/>
  <c r="BT45" i="2" s="1"/>
  <c r="BO44" i="2"/>
  <c r="BN44" i="2"/>
  <c r="BL44" i="2"/>
  <c r="BK44" i="2"/>
  <c r="BI44" i="2"/>
  <c r="BH44" i="2"/>
  <c r="AZ44" i="2"/>
  <c r="AY44" i="2"/>
  <c r="AX44" i="2"/>
  <c r="AW44" i="2"/>
  <c r="AV44" i="2"/>
  <c r="AP44" i="2"/>
  <c r="AN44" i="2"/>
  <c r="AM44" i="2"/>
  <c r="BQ44" i="2"/>
  <c r="BP44" i="2"/>
  <c r="BM44" i="2"/>
  <c r="BJ44" i="2"/>
  <c r="BG44" i="2"/>
  <c r="BF44" i="2"/>
  <c r="BE44" i="2"/>
  <c r="BD44" i="2"/>
  <c r="BC44" i="2"/>
  <c r="BB44" i="2"/>
  <c r="BA44" i="2"/>
  <c r="AU44" i="2"/>
  <c r="AT44" i="2"/>
  <c r="AS44" i="2"/>
  <c r="AR44" i="2"/>
  <c r="AQ44" i="2"/>
  <c r="AO44" i="2"/>
  <c r="F44" i="2"/>
  <c r="E44" i="2"/>
  <c r="D44" i="2"/>
  <c r="C44" i="2"/>
  <c r="B44" i="2"/>
  <c r="A44" i="2"/>
  <c r="BT44" i="2" s="1" a="1"/>
  <c r="BT44" i="2" s="1"/>
  <c r="BQ43" i="2"/>
  <c r="BP43" i="2"/>
  <c r="BO43" i="2"/>
  <c r="BL43" i="2"/>
  <c r="BI43" i="2"/>
  <c r="BH43" i="2"/>
  <c r="BG43" i="2"/>
  <c r="BF43" i="2"/>
  <c r="BE43" i="2"/>
  <c r="AZ43" i="2"/>
  <c r="AY43" i="2"/>
  <c r="AW43" i="2"/>
  <c r="AV43" i="2"/>
  <c r="AS43" i="2"/>
  <c r="AR43" i="2"/>
  <c r="AQ43" i="2"/>
  <c r="AN43" i="2"/>
  <c r="AM43" i="2"/>
  <c r="BN43" i="2"/>
  <c r="BM43" i="2"/>
  <c r="BK43" i="2"/>
  <c r="BJ43" i="2"/>
  <c r="BD43" i="2"/>
  <c r="BC43" i="2"/>
  <c r="BB43" i="2"/>
  <c r="BA43" i="2"/>
  <c r="AX43" i="2"/>
  <c r="AU43" i="2"/>
  <c r="AT43" i="2"/>
  <c r="AP43" i="2"/>
  <c r="AO43" i="2"/>
  <c r="F43" i="2"/>
  <c r="E43" i="2"/>
  <c r="D43" i="2"/>
  <c r="C43" i="2"/>
  <c r="B43" i="2"/>
  <c r="A43" i="2"/>
  <c r="BT43" i="2" s="1" a="1"/>
  <c r="BT43" i="2" s="1"/>
  <c r="BQ42" i="2"/>
  <c r="BN42" i="2"/>
  <c r="BF42" i="2"/>
  <c r="BE42" i="2"/>
  <c r="BB42" i="2"/>
  <c r="BA42" i="2"/>
  <c r="AZ42" i="2"/>
  <c r="AT42" i="2"/>
  <c r="AS42" i="2"/>
  <c r="AR42" i="2"/>
  <c r="AP42" i="2"/>
  <c r="AO42" i="2"/>
  <c r="AN42" i="2"/>
  <c r="BP42" i="2"/>
  <c r="BO42" i="2"/>
  <c r="BM42" i="2"/>
  <c r="BL42" i="2"/>
  <c r="BK42" i="2"/>
  <c r="BJ42" i="2"/>
  <c r="BI42" i="2"/>
  <c r="BH42" i="2"/>
  <c r="BG42" i="2"/>
  <c r="BD42" i="2"/>
  <c r="BC42" i="2"/>
  <c r="AY42" i="2"/>
  <c r="AX42" i="2"/>
  <c r="AW42" i="2"/>
  <c r="AV42" i="2"/>
  <c r="AU42" i="2"/>
  <c r="AQ42" i="2"/>
  <c r="AM42" i="2"/>
  <c r="F42" i="2"/>
  <c r="E42" i="2"/>
  <c r="D42" i="2"/>
  <c r="C42" i="2"/>
  <c r="B42" i="2"/>
  <c r="A42" i="2"/>
  <c r="BT42" i="2" s="1" a="1"/>
  <c r="BT42" i="2" s="1"/>
  <c r="BO41" i="2"/>
  <c r="BN41" i="2"/>
  <c r="BL41" i="2"/>
  <c r="BK41" i="2"/>
  <c r="BJ41" i="2"/>
  <c r="BE41" i="2"/>
  <c r="BC41" i="2"/>
  <c r="BB41" i="2"/>
  <c r="BA41" i="2"/>
  <c r="AY41" i="2"/>
  <c r="AQ41" i="2"/>
  <c r="AP41" i="2"/>
  <c r="AO41" i="2"/>
  <c r="AN41" i="2"/>
  <c r="AM41" i="2"/>
  <c r="BQ41" i="2"/>
  <c r="BP41" i="2"/>
  <c r="BM41" i="2"/>
  <c r="BI41" i="2"/>
  <c r="BH41" i="2"/>
  <c r="BG41" i="2"/>
  <c r="BF41" i="2"/>
  <c r="BD41" i="2"/>
  <c r="AZ41" i="2"/>
  <c r="AX41" i="2"/>
  <c r="AW41" i="2"/>
  <c r="AV41" i="2"/>
  <c r="AU41" i="2"/>
  <c r="AT41" i="2"/>
  <c r="AS41" i="2"/>
  <c r="AR41" i="2"/>
  <c r="F41" i="2"/>
  <c r="E41" i="2"/>
  <c r="D41" i="2"/>
  <c r="C41" i="2"/>
  <c r="B41" i="2"/>
  <c r="A41" i="2"/>
  <c r="BT41" i="2" s="1" a="1"/>
  <c r="BT41" i="2" s="1"/>
  <c r="BL40" i="2"/>
  <c r="BK40" i="2"/>
  <c r="BJ40" i="2"/>
  <c r="BH40" i="2"/>
  <c r="BC40" i="2"/>
  <c r="BB40" i="2"/>
  <c r="AZ40" i="2"/>
  <c r="AY40" i="2"/>
  <c r="AW40" i="2"/>
  <c r="AV40" i="2"/>
  <c r="AU40" i="2"/>
  <c r="AT40" i="2"/>
  <c r="AQ40" i="2"/>
  <c r="AP40" i="2"/>
  <c r="AN40" i="2"/>
  <c r="AM40" i="2"/>
  <c r="BQ40" i="2"/>
  <c r="BP40" i="2"/>
  <c r="BO40" i="2"/>
  <c r="BN40" i="2"/>
  <c r="BM40" i="2"/>
  <c r="BI40" i="2"/>
  <c r="BG40" i="2"/>
  <c r="BF40" i="2"/>
  <c r="BE40" i="2"/>
  <c r="BD40" i="2"/>
  <c r="BA40" i="2"/>
  <c r="AX40" i="2"/>
  <c r="AS40" i="2"/>
  <c r="AR40" i="2"/>
  <c r="AO40" i="2"/>
  <c r="F40" i="2"/>
  <c r="E40" i="2"/>
  <c r="D40" i="2"/>
  <c r="C40" i="2"/>
  <c r="B40" i="2"/>
  <c r="A40" i="2"/>
  <c r="BT40" i="2" s="1" a="1"/>
  <c r="BT40" i="2" s="1"/>
  <c r="BQ39" i="2"/>
  <c r="BO39" i="2"/>
  <c r="BL39" i="2"/>
  <c r="BI39" i="2"/>
  <c r="BH39" i="2"/>
  <c r="BE39" i="2"/>
  <c r="BD39" i="2"/>
  <c r="AW39" i="2"/>
  <c r="AV39" i="2"/>
  <c r="AT39" i="2"/>
  <c r="AS39" i="2"/>
  <c r="AR39" i="2"/>
  <c r="AQ39" i="2"/>
  <c r="AN39" i="2"/>
  <c r="BP39" i="2"/>
  <c r="BN39" i="2"/>
  <c r="BM39" i="2"/>
  <c r="BK39" i="2"/>
  <c r="BJ39" i="2"/>
  <c r="BG39" i="2"/>
  <c r="BF39" i="2"/>
  <c r="BC39" i="2"/>
  <c r="BB39" i="2"/>
  <c r="BA39" i="2"/>
  <c r="AZ39" i="2"/>
  <c r="AY39" i="2"/>
  <c r="AX39" i="2"/>
  <c r="AU39" i="2"/>
  <c r="AP39" i="2"/>
  <c r="AO39" i="2"/>
  <c r="AM39" i="2"/>
  <c r="F39" i="2"/>
  <c r="E39" i="2"/>
  <c r="D39" i="2"/>
  <c r="C39" i="2"/>
  <c r="B39" i="2"/>
  <c r="A39" i="2"/>
  <c r="BT39" i="2" s="1" a="1"/>
  <c r="BT39" i="2" s="1"/>
  <c r="BQ38" i="2"/>
  <c r="BP38" i="2"/>
  <c r="BO38" i="2"/>
  <c r="BN38" i="2"/>
  <c r="BM38" i="2"/>
  <c r="BF38" i="2"/>
  <c r="BE38" i="2"/>
  <c r="BB38" i="2"/>
  <c r="AT38" i="2"/>
  <c r="AS38" i="2"/>
  <c r="AR38" i="2"/>
  <c r="AQ38" i="2"/>
  <c r="AP38" i="2"/>
  <c r="BL38" i="2"/>
  <c r="BK38" i="2"/>
  <c r="BJ38" i="2"/>
  <c r="BI38" i="2"/>
  <c r="BH38" i="2"/>
  <c r="BG38" i="2"/>
  <c r="BD38" i="2"/>
  <c r="BC38" i="2"/>
  <c r="BA38" i="2"/>
  <c r="AZ38" i="2"/>
  <c r="AY38" i="2"/>
  <c r="AX38" i="2"/>
  <c r="AW38" i="2"/>
  <c r="AV38" i="2"/>
  <c r="AU38" i="2"/>
  <c r="AO38" i="2"/>
  <c r="AN38" i="2"/>
  <c r="AM38" i="2"/>
  <c r="F38" i="2"/>
  <c r="E38" i="2"/>
  <c r="D38" i="2"/>
  <c r="C38" i="2"/>
  <c r="B38" i="2"/>
  <c r="A38" i="2"/>
  <c r="BT38" i="2" s="1" a="1"/>
  <c r="BT38" i="2" s="1"/>
  <c r="BO37" i="2"/>
  <c r="BN37" i="2"/>
  <c r="BM37" i="2"/>
  <c r="BL37" i="2"/>
  <c r="BK37" i="2"/>
  <c r="BJ37" i="2"/>
  <c r="BI37" i="2"/>
  <c r="BC37" i="2"/>
  <c r="BB37" i="2"/>
  <c r="BA37" i="2"/>
  <c r="AZ37" i="2"/>
  <c r="AY37" i="2"/>
  <c r="AW37" i="2"/>
  <c r="AQ37" i="2"/>
  <c r="AP37" i="2"/>
  <c r="AM37" i="2"/>
  <c r="BQ37" i="2"/>
  <c r="BP37" i="2"/>
  <c r="BH37" i="2"/>
  <c r="BG37" i="2"/>
  <c r="BF37" i="2"/>
  <c r="BE37" i="2"/>
  <c r="BD37" i="2"/>
  <c r="AX37" i="2"/>
  <c r="AV37" i="2"/>
  <c r="AU37" i="2"/>
  <c r="AT37" i="2"/>
  <c r="AS37" i="2"/>
  <c r="AR37" i="2"/>
  <c r="AO37" i="2"/>
  <c r="AN37" i="2"/>
  <c r="F37" i="2"/>
  <c r="E37" i="2"/>
  <c r="D37" i="2"/>
  <c r="C37" i="2"/>
  <c r="B37" i="2"/>
  <c r="A37" i="2"/>
  <c r="BT37" i="2" s="1" a="1"/>
  <c r="BT37" i="2" s="1"/>
  <c r="BO36" i="2"/>
  <c r="BL36" i="2"/>
  <c r="BK36" i="2"/>
  <c r="BJ36" i="2"/>
  <c r="BI36" i="2"/>
  <c r="BH36" i="2"/>
  <c r="BG36" i="2"/>
  <c r="AZ36" i="2"/>
  <c r="AY36" i="2"/>
  <c r="AX36" i="2"/>
  <c r="AW36" i="2"/>
  <c r="AV36" i="2"/>
  <c r="AU36" i="2"/>
  <c r="AT36" i="2"/>
  <c r="AN36" i="2"/>
  <c r="AM36" i="2"/>
  <c r="BQ36" i="2"/>
  <c r="BP36" i="2"/>
  <c r="BN36" i="2"/>
  <c r="BM36" i="2"/>
  <c r="BF36" i="2"/>
  <c r="BE36" i="2"/>
  <c r="BD36" i="2"/>
  <c r="BC36" i="2"/>
  <c r="BB36" i="2"/>
  <c r="BA36" i="2"/>
  <c r="AS36" i="2"/>
  <c r="AR36" i="2"/>
  <c r="AQ36" i="2"/>
  <c r="AP36" i="2"/>
  <c r="AO36" i="2"/>
  <c r="F36" i="2"/>
  <c r="E36" i="2"/>
  <c r="D36" i="2"/>
  <c r="C36" i="2"/>
  <c r="B36" i="2"/>
  <c r="A36" i="2"/>
  <c r="BT36" i="2" s="1" a="1"/>
  <c r="BT36" i="2" s="1"/>
  <c r="BQ35" i="2"/>
  <c r="BP35" i="2"/>
  <c r="BL35" i="2"/>
  <c r="BK35" i="2"/>
  <c r="BJ35" i="2"/>
  <c r="BI35" i="2"/>
  <c r="BH35" i="2"/>
  <c r="AZ35" i="2"/>
  <c r="AY35" i="2"/>
  <c r="AX35" i="2"/>
  <c r="AW35" i="2"/>
  <c r="AV35" i="2"/>
  <c r="AN35" i="2"/>
  <c r="AM35" i="2"/>
  <c r="BO35" i="2"/>
  <c r="BN35" i="2"/>
  <c r="BM35" i="2"/>
  <c r="BG35" i="2"/>
  <c r="BF35" i="2"/>
  <c r="BE35" i="2"/>
  <c r="BD35" i="2"/>
  <c r="BC35" i="2"/>
  <c r="BB35" i="2"/>
  <c r="BA35" i="2"/>
  <c r="AU35" i="2"/>
  <c r="AT35" i="2"/>
  <c r="AS35" i="2"/>
  <c r="AR35" i="2"/>
  <c r="AQ35" i="2"/>
  <c r="AP35" i="2"/>
  <c r="AO35" i="2"/>
  <c r="F35" i="2"/>
  <c r="E35" i="2"/>
  <c r="D35" i="2"/>
  <c r="C35" i="2"/>
  <c r="B35" i="2"/>
  <c r="A35" i="2"/>
  <c r="BT35" i="2" s="1" a="1"/>
  <c r="BT35" i="2" s="1"/>
  <c r="BQ34" i="2"/>
  <c r="BP34" i="2"/>
  <c r="BO34" i="2"/>
  <c r="BH34" i="2"/>
  <c r="BG34" i="2"/>
  <c r="BF34" i="2"/>
  <c r="BE34" i="2"/>
  <c r="BD34" i="2"/>
  <c r="BC34" i="2"/>
  <c r="BB34" i="2"/>
  <c r="AU34" i="2"/>
  <c r="AT34" i="2"/>
  <c r="AS34" i="2"/>
  <c r="AR34" i="2"/>
  <c r="AQ34" i="2"/>
  <c r="AP34" i="2"/>
  <c r="BN34" i="2"/>
  <c r="BM34" i="2"/>
  <c r="BL34" i="2"/>
  <c r="BK34" i="2"/>
  <c r="BJ34" i="2"/>
  <c r="BI34" i="2"/>
  <c r="BA34" i="2"/>
  <c r="AZ34" i="2"/>
  <c r="AY34" i="2"/>
  <c r="AX34" i="2"/>
  <c r="AW34" i="2"/>
  <c r="AV34" i="2"/>
  <c r="AO34" i="2"/>
  <c r="AN34" i="2"/>
  <c r="AM34" i="2"/>
  <c r="F34" i="2"/>
  <c r="E34" i="2"/>
  <c r="D34" i="2"/>
  <c r="C34" i="2"/>
  <c r="B34" i="2"/>
  <c r="A34" i="2"/>
  <c r="BT34" i="2" s="1" a="1"/>
  <c r="BT34" i="2" s="1"/>
  <c r="BO33" i="2"/>
  <c r="BN33" i="2"/>
  <c r="BL33" i="2"/>
  <c r="BK33" i="2"/>
  <c r="BJ33" i="2"/>
  <c r="BI33" i="2"/>
  <c r="BF33" i="2"/>
  <c r="BE33" i="2"/>
  <c r="BC33" i="2"/>
  <c r="BB33" i="2"/>
  <c r="BA33" i="2"/>
  <c r="AW33" i="2"/>
  <c r="AT33" i="2"/>
  <c r="AS33" i="2"/>
  <c r="AR33" i="2"/>
  <c r="AQ33" i="2"/>
  <c r="AP33" i="2"/>
  <c r="BQ33" i="2"/>
  <c r="BP33" i="2"/>
  <c r="BM33" i="2"/>
  <c r="BH33" i="2"/>
  <c r="BG33" i="2"/>
  <c r="BD33" i="2"/>
  <c r="AZ33" i="2"/>
  <c r="AY33" i="2"/>
  <c r="AX33" i="2"/>
  <c r="AV33" i="2"/>
  <c r="AU33" i="2"/>
  <c r="AO33" i="2"/>
  <c r="AN33" i="2"/>
  <c r="AM33" i="2"/>
  <c r="F33" i="2"/>
  <c r="E33" i="2"/>
  <c r="D33" i="2"/>
  <c r="C33" i="2"/>
  <c r="B33" i="2"/>
  <c r="A33" i="2"/>
  <c r="BT33" i="2" s="1" a="1"/>
  <c r="BT33" i="2" s="1"/>
  <c r="BO32" i="2"/>
  <c r="BL32" i="2"/>
  <c r="BK32" i="2"/>
  <c r="BJ32" i="2"/>
  <c r="BC32" i="2"/>
  <c r="AZ32" i="2"/>
  <c r="AY32" i="2"/>
  <c r="AX32" i="2"/>
  <c r="AP32" i="2"/>
  <c r="AO32" i="2"/>
  <c r="AN32" i="2"/>
  <c r="AM32" i="2"/>
  <c r="BQ32" i="2"/>
  <c r="BP32" i="2"/>
  <c r="BN32" i="2"/>
  <c r="BM32" i="2"/>
  <c r="BI32" i="2"/>
  <c r="BH32" i="2"/>
  <c r="BG32" i="2"/>
  <c r="BF32" i="2"/>
  <c r="BE32" i="2"/>
  <c r="BD32" i="2"/>
  <c r="BB32" i="2"/>
  <c r="BA32" i="2"/>
  <c r="AW32" i="2"/>
  <c r="AV32" i="2"/>
  <c r="AU32" i="2"/>
  <c r="AT32" i="2"/>
  <c r="AS32" i="2"/>
  <c r="AR32" i="2"/>
  <c r="AQ32" i="2"/>
  <c r="F32" i="2"/>
  <c r="E32" i="2"/>
  <c r="D32" i="2"/>
  <c r="C32" i="2"/>
  <c r="B32" i="2"/>
  <c r="A32" i="2"/>
  <c r="BT32" i="2" s="1" a="1"/>
  <c r="BT32" i="2" s="1"/>
  <c r="BO31" i="2"/>
  <c r="BI31" i="2"/>
  <c r="BH31" i="2"/>
  <c r="BF31" i="2"/>
  <c r="BE31" i="2"/>
  <c r="BD31" i="2"/>
  <c r="BC31" i="2"/>
  <c r="AZ31" i="2"/>
  <c r="AV31" i="2"/>
  <c r="AS31" i="2"/>
  <c r="AQ31" i="2"/>
  <c r="AN31" i="2"/>
  <c r="AM31" i="2"/>
  <c r="BQ31" i="2"/>
  <c r="BP31" i="2"/>
  <c r="BN31" i="2"/>
  <c r="BM31" i="2"/>
  <c r="BL31" i="2"/>
  <c r="BK31" i="2"/>
  <c r="BJ31" i="2"/>
  <c r="BG31" i="2"/>
  <c r="BB31" i="2"/>
  <c r="BA31" i="2"/>
  <c r="AY31" i="2"/>
  <c r="AX31" i="2"/>
  <c r="AW31" i="2"/>
  <c r="AU31" i="2"/>
  <c r="AT31" i="2"/>
  <c r="AR31" i="2"/>
  <c r="AP31" i="2"/>
  <c r="AO31" i="2"/>
  <c r="F31" i="2"/>
  <c r="E31" i="2"/>
  <c r="D31" i="2"/>
  <c r="C31" i="2"/>
  <c r="B31" i="2"/>
  <c r="A31" i="2"/>
  <c r="BT31" i="2" s="1" a="1"/>
  <c r="BT31" i="2" s="1"/>
  <c r="BQ30" i="2"/>
  <c r="BL30" i="2"/>
  <c r="BK30" i="2"/>
  <c r="BI30" i="2"/>
  <c r="BH30" i="2"/>
  <c r="BF30" i="2"/>
  <c r="BE30" i="2"/>
  <c r="BA30" i="2"/>
  <c r="AZ30" i="2"/>
  <c r="AY30" i="2"/>
  <c r="AW30" i="2"/>
  <c r="AV30" i="2"/>
  <c r="AS30" i="2"/>
  <c r="AN30" i="2"/>
  <c r="AM30" i="2"/>
  <c r="BP30" i="2"/>
  <c r="BO30" i="2"/>
  <c r="BN30" i="2"/>
  <c r="BM30" i="2"/>
  <c r="BJ30" i="2"/>
  <c r="BG30" i="2"/>
  <c r="BD30" i="2"/>
  <c r="BC30" i="2"/>
  <c r="BB30" i="2"/>
  <c r="AX30" i="2"/>
  <c r="AU30" i="2"/>
  <c r="AT30" i="2"/>
  <c r="AR30" i="2"/>
  <c r="AQ30" i="2"/>
  <c r="AP30" i="2"/>
  <c r="AO30" i="2"/>
  <c r="F30" i="2"/>
  <c r="E30" i="2"/>
  <c r="D30" i="2"/>
  <c r="C30" i="2"/>
  <c r="B30" i="2"/>
  <c r="A30" i="2"/>
  <c r="BT30" i="2" s="1" a="1"/>
  <c r="BT30" i="2" s="1"/>
  <c r="BQ29" i="2"/>
  <c r="BP29" i="2"/>
  <c r="BO29" i="2"/>
  <c r="BN29" i="2"/>
  <c r="BM29" i="2"/>
  <c r="BI29" i="2"/>
  <c r="BH29" i="2"/>
  <c r="BE29" i="2"/>
  <c r="BD29" i="2"/>
  <c r="BC29" i="2"/>
  <c r="BB29" i="2"/>
  <c r="BA29" i="2"/>
  <c r="AZ29" i="2"/>
  <c r="AS29" i="2"/>
  <c r="AR29" i="2"/>
  <c r="AQ29" i="2"/>
  <c r="AP29" i="2"/>
  <c r="AO29" i="2"/>
  <c r="AN29" i="2"/>
  <c r="AM29" i="2"/>
  <c r="BL29" i="2"/>
  <c r="BK29" i="2"/>
  <c r="BJ29" i="2"/>
  <c r="BG29" i="2"/>
  <c r="BF29" i="2"/>
  <c r="AY29" i="2"/>
  <c r="AX29" i="2"/>
  <c r="AW29" i="2"/>
  <c r="AV29" i="2"/>
  <c r="AU29" i="2"/>
  <c r="AT29" i="2"/>
  <c r="F29" i="2"/>
  <c r="E29" i="2"/>
  <c r="D29" i="2"/>
  <c r="C29" i="2"/>
  <c r="B29" i="2"/>
  <c r="A29" i="2"/>
  <c r="BT29" i="2" s="1" a="1"/>
  <c r="BT29" i="2" s="1"/>
  <c r="BO28" i="2"/>
  <c r="BN28" i="2"/>
  <c r="BK28" i="2"/>
  <c r="BJ28" i="2"/>
  <c r="BI28" i="2"/>
  <c r="BG28" i="2"/>
  <c r="AZ28" i="2"/>
  <c r="AY28" i="2"/>
  <c r="AX28" i="2"/>
  <c r="AW28" i="2"/>
  <c r="AU28" i="2"/>
  <c r="AT28" i="2"/>
  <c r="AO28" i="2"/>
  <c r="AM28" i="2"/>
  <c r="BQ28" i="2"/>
  <c r="BP28" i="2"/>
  <c r="BM28" i="2"/>
  <c r="BL28" i="2"/>
  <c r="BH28" i="2"/>
  <c r="BF28" i="2"/>
  <c r="BE28" i="2"/>
  <c r="BD28" i="2"/>
  <c r="BC28" i="2"/>
  <c r="BB28" i="2"/>
  <c r="BA28" i="2"/>
  <c r="AV28" i="2"/>
  <c r="AS28" i="2"/>
  <c r="AR28" i="2"/>
  <c r="AQ28" i="2"/>
  <c r="AP28" i="2"/>
  <c r="AN28" i="2"/>
  <c r="F28" i="2"/>
  <c r="E28" i="2"/>
  <c r="D28" i="2"/>
  <c r="C28" i="2"/>
  <c r="B28" i="2"/>
  <c r="A28" i="2"/>
  <c r="BT28" i="2" s="1" a="1"/>
  <c r="BT28" i="2" s="1"/>
  <c r="BQ27" i="2"/>
  <c r="BP27" i="2"/>
  <c r="BO27" i="2"/>
  <c r="BH27" i="2"/>
  <c r="BG27" i="2"/>
  <c r="BF27" i="2"/>
  <c r="BE27" i="2"/>
  <c r="BD27" i="2"/>
  <c r="BC27" i="2"/>
  <c r="AZ27" i="2"/>
  <c r="AV27" i="2"/>
  <c r="AU27" i="2"/>
  <c r="AS27" i="2"/>
  <c r="AR27" i="2"/>
  <c r="AQ27" i="2"/>
  <c r="AM27" i="2"/>
  <c r="BN27" i="2"/>
  <c r="BM27" i="2"/>
  <c r="BL27" i="2"/>
  <c r="BK27" i="2"/>
  <c r="BJ27" i="2"/>
  <c r="BI27" i="2"/>
  <c r="BB27" i="2"/>
  <c r="BA27" i="2"/>
  <c r="AY27" i="2"/>
  <c r="AX27" i="2"/>
  <c r="AW27" i="2"/>
  <c r="AT27" i="2"/>
  <c r="AP27" i="2"/>
  <c r="AO27" i="2"/>
  <c r="AN27" i="2"/>
  <c r="F27" i="2"/>
  <c r="E27" i="2"/>
  <c r="D27" i="2"/>
  <c r="C27" i="2"/>
  <c r="B27" i="2"/>
  <c r="A27" i="2"/>
  <c r="BT27" i="2" s="1" a="1"/>
  <c r="BT27" i="2" s="1"/>
  <c r="BQ26" i="2"/>
  <c r="BP26" i="2"/>
  <c r="BO26" i="2"/>
  <c r="BN26" i="2"/>
  <c r="BL26" i="2"/>
  <c r="BK26" i="2"/>
  <c r="BI26" i="2"/>
  <c r="BE26" i="2"/>
  <c r="BC26" i="2"/>
  <c r="BB26" i="2"/>
  <c r="BA26" i="2"/>
  <c r="AZ26" i="2"/>
  <c r="AY26" i="2"/>
  <c r="AT26" i="2"/>
  <c r="AS26" i="2"/>
  <c r="AP26" i="2"/>
  <c r="AO26" i="2"/>
  <c r="AN26" i="2"/>
  <c r="AM26" i="2"/>
  <c r="BM26" i="2"/>
  <c r="BJ26" i="2"/>
  <c r="BH26" i="2"/>
  <c r="BG26" i="2"/>
  <c r="BF26" i="2"/>
  <c r="BD26" i="2"/>
  <c r="AX26" i="2"/>
  <c r="AW26" i="2"/>
  <c r="AV26" i="2"/>
  <c r="AU26" i="2"/>
  <c r="AR26" i="2"/>
  <c r="AQ26" i="2"/>
  <c r="F26" i="2"/>
  <c r="E26" i="2"/>
  <c r="D26" i="2"/>
  <c r="C26" i="2"/>
  <c r="B26" i="2"/>
  <c r="A26" i="2"/>
  <c r="BT26" i="2" s="1" a="1"/>
  <c r="BT26" i="2" s="1"/>
  <c r="BQ25" i="2"/>
  <c r="BN25" i="2"/>
  <c r="BK25" i="2"/>
  <c r="BH25" i="2"/>
  <c r="BF25" i="2"/>
  <c r="BE25" i="2"/>
  <c r="BC25" i="2"/>
  <c r="BB25" i="2"/>
  <c r="AT25" i="2"/>
  <c r="AS25" i="2"/>
  <c r="AQ25" i="2"/>
  <c r="AP25" i="2"/>
  <c r="AO25" i="2"/>
  <c r="BP25" i="2"/>
  <c r="BO25" i="2"/>
  <c r="BM25" i="2"/>
  <c r="BL25" i="2"/>
  <c r="BJ25" i="2"/>
  <c r="BI25" i="2"/>
  <c r="BG25" i="2"/>
  <c r="BD25" i="2"/>
  <c r="BA25" i="2"/>
  <c r="AZ25" i="2"/>
  <c r="AY25" i="2"/>
  <c r="AX25" i="2"/>
  <c r="AW25" i="2"/>
  <c r="AV25" i="2"/>
  <c r="AU25" i="2"/>
  <c r="AR25" i="2"/>
  <c r="AN25" i="2"/>
  <c r="AM25" i="2"/>
  <c r="F25" i="2"/>
  <c r="E25" i="2"/>
  <c r="D25" i="2"/>
  <c r="C25" i="2"/>
  <c r="B25" i="2"/>
  <c r="A25" i="2"/>
  <c r="BT25" i="2" s="1" a="1"/>
  <c r="BT25" i="2" s="1"/>
  <c r="BN24" i="2"/>
  <c r="BM24" i="2"/>
  <c r="BL24" i="2"/>
  <c r="BK24" i="2"/>
  <c r="BJ24" i="2"/>
  <c r="BI24" i="2"/>
  <c r="BC24" i="2"/>
  <c r="BB24" i="2"/>
  <c r="BA24" i="2"/>
  <c r="AZ24" i="2"/>
  <c r="AY24" i="2"/>
  <c r="AX24" i="2"/>
  <c r="AW24" i="2"/>
  <c r="AV24" i="2"/>
  <c r="AP24" i="2"/>
  <c r="AO24" i="2"/>
  <c r="AN24" i="2"/>
  <c r="AM24" i="2"/>
  <c r="BQ24" i="2"/>
  <c r="BP24" i="2"/>
  <c r="BO24" i="2"/>
  <c r="BH24" i="2"/>
  <c r="BG24" i="2"/>
  <c r="BF24" i="2"/>
  <c r="BE24" i="2"/>
  <c r="BD24" i="2"/>
  <c r="AU24" i="2"/>
  <c r="AT24" i="2"/>
  <c r="AS24" i="2"/>
  <c r="AR24" i="2"/>
  <c r="AQ24" i="2"/>
  <c r="F24" i="2"/>
  <c r="E24" i="2"/>
  <c r="D24" i="2"/>
  <c r="C24" i="2"/>
  <c r="B24" i="2"/>
  <c r="A24" i="2"/>
  <c r="BT24" i="2" s="1" a="1"/>
  <c r="BT24" i="2" s="1"/>
  <c r="BQ23" i="2"/>
  <c r="BI23" i="2"/>
  <c r="BH23" i="2"/>
  <c r="BG23" i="2"/>
  <c r="BF23" i="2"/>
  <c r="BE23" i="2"/>
  <c r="AX23" i="2"/>
  <c r="AV23" i="2"/>
  <c r="AU23" i="2"/>
  <c r="AT23" i="2"/>
  <c r="AS23" i="2"/>
  <c r="AP23" i="2"/>
  <c r="BP23" i="2"/>
  <c r="BO23" i="2"/>
  <c r="BN23" i="2"/>
  <c r="BM23" i="2"/>
  <c r="BL23" i="2"/>
  <c r="BK23" i="2"/>
  <c r="BJ23" i="2"/>
  <c r="BD23" i="2"/>
  <c r="BC23" i="2"/>
  <c r="BB23" i="2"/>
  <c r="BA23" i="2"/>
  <c r="AZ23" i="2"/>
  <c r="AY23" i="2"/>
  <c r="AW23" i="2"/>
  <c r="AR23" i="2"/>
  <c r="AQ23" i="2"/>
  <c r="AO23" i="2"/>
  <c r="AN23" i="2"/>
  <c r="AM23" i="2"/>
  <c r="F23" i="2"/>
  <c r="E23" i="2"/>
  <c r="D23" i="2"/>
  <c r="C23" i="2"/>
  <c r="B23" i="2"/>
  <c r="A23" i="2"/>
  <c r="BT23" i="2" s="1" a="1"/>
  <c r="BT23" i="2" s="1"/>
  <c r="BQ22" i="2"/>
  <c r="BN22" i="2"/>
  <c r="BM22" i="2"/>
  <c r="BL22" i="2"/>
  <c r="BE22" i="2"/>
  <c r="BC22" i="2"/>
  <c r="BB22" i="2"/>
  <c r="BA22" i="2"/>
  <c r="AZ22" i="2"/>
  <c r="AS22" i="2"/>
  <c r="AP22" i="2"/>
  <c r="AO22" i="2"/>
  <c r="AN22" i="2"/>
  <c r="BP22" i="2"/>
  <c r="BO22" i="2"/>
  <c r="BK22" i="2"/>
  <c r="BJ22" i="2"/>
  <c r="BI22" i="2"/>
  <c r="BH22" i="2"/>
  <c r="BG22" i="2"/>
  <c r="BF22" i="2"/>
  <c r="BD22" i="2"/>
  <c r="AY22" i="2"/>
  <c r="AX22" i="2"/>
  <c r="AW22" i="2"/>
  <c r="AV22" i="2"/>
  <c r="AU22" i="2"/>
  <c r="AT22" i="2"/>
  <c r="AR22" i="2"/>
  <c r="AQ22" i="2"/>
  <c r="AM22" i="2"/>
  <c r="F22" i="2"/>
  <c r="E22" i="2"/>
  <c r="D22" i="2"/>
  <c r="C22" i="2"/>
  <c r="B22" i="2"/>
  <c r="A22" i="2"/>
  <c r="BT22" i="2" s="1" a="1"/>
  <c r="BT22" i="2" s="1"/>
  <c r="BN21" i="2"/>
  <c r="BK21" i="2"/>
  <c r="BI21" i="2"/>
  <c r="BH21" i="2"/>
  <c r="BF21" i="2"/>
  <c r="BD21" i="2"/>
  <c r="BB21" i="2"/>
  <c r="AW21" i="2"/>
  <c r="AV21" i="2"/>
  <c r="AR21" i="2"/>
  <c r="AQ21" i="2"/>
  <c r="AP21" i="2"/>
  <c r="AM21" i="2"/>
  <c r="BQ21" i="2"/>
  <c r="BP21" i="2"/>
  <c r="BO21" i="2"/>
  <c r="BM21" i="2"/>
  <c r="BL21" i="2"/>
  <c r="BJ21" i="2"/>
  <c r="BG21" i="2"/>
  <c r="BE21" i="2"/>
  <c r="BC21" i="2"/>
  <c r="BA21" i="2"/>
  <c r="AZ21" i="2"/>
  <c r="AY21" i="2"/>
  <c r="AX21" i="2"/>
  <c r="AU21" i="2"/>
  <c r="AT21" i="2"/>
  <c r="AS21" i="2"/>
  <c r="AO21" i="2"/>
  <c r="AN21" i="2"/>
  <c r="F21" i="2"/>
  <c r="E21" i="2"/>
  <c r="D21" i="2"/>
  <c r="C21" i="2"/>
  <c r="B21" i="2"/>
  <c r="A21" i="2"/>
  <c r="BT21" i="2" s="1" a="1"/>
  <c r="BT21" i="2" s="1"/>
  <c r="BO20" i="2"/>
  <c r="BN20" i="2"/>
  <c r="BM20" i="2"/>
  <c r="BK20" i="2"/>
  <c r="BC20" i="2"/>
  <c r="BB20" i="2"/>
  <c r="BA20" i="2"/>
  <c r="AY20" i="2"/>
  <c r="AX20" i="2"/>
  <c r="AT20" i="2"/>
  <c r="AQ20" i="2"/>
  <c r="AP20" i="2"/>
  <c r="AO20" i="2"/>
  <c r="AM20" i="2"/>
  <c r="BQ20" i="2"/>
  <c r="BP20" i="2"/>
  <c r="BL20" i="2"/>
  <c r="BJ20" i="2"/>
  <c r="BI20" i="2"/>
  <c r="BH20" i="2"/>
  <c r="BG20" i="2"/>
  <c r="BF20" i="2"/>
  <c r="BE20" i="2"/>
  <c r="BD20" i="2"/>
  <c r="AZ20" i="2"/>
  <c r="AW20" i="2"/>
  <c r="AV20" i="2"/>
  <c r="AU20" i="2"/>
  <c r="AS20" i="2"/>
  <c r="AR20" i="2"/>
  <c r="AN20" i="2"/>
  <c r="F20" i="2"/>
  <c r="E20" i="2"/>
  <c r="D20" i="2"/>
  <c r="C20" i="2"/>
  <c r="B20" i="2"/>
  <c r="A20" i="2"/>
  <c r="BT20" i="2" s="1" a="1"/>
  <c r="BT20" i="2" s="1"/>
  <c r="BL19" i="2"/>
  <c r="BK19" i="2"/>
  <c r="BJ19" i="2"/>
  <c r="BI19" i="2"/>
  <c r="BH19" i="2"/>
  <c r="BG19" i="2"/>
  <c r="BF19" i="2"/>
  <c r="AZ19" i="2"/>
  <c r="AY19" i="2"/>
  <c r="AW19" i="2"/>
  <c r="AV19" i="2"/>
  <c r="AU19" i="2"/>
  <c r="AM19" i="2"/>
  <c r="BQ19" i="2"/>
  <c r="BP19" i="2"/>
  <c r="BO19" i="2"/>
  <c r="BN19" i="2"/>
  <c r="BM19" i="2"/>
  <c r="BE19" i="2"/>
  <c r="BD19" i="2"/>
  <c r="BC19" i="2"/>
  <c r="BB19" i="2"/>
  <c r="BA19" i="2"/>
  <c r="AX19" i="2"/>
  <c r="AT19" i="2"/>
  <c r="AS19" i="2"/>
  <c r="AR19" i="2"/>
  <c r="AQ19" i="2"/>
  <c r="AP19" i="2"/>
  <c r="AO19" i="2"/>
  <c r="AN19" i="2"/>
  <c r="F19" i="2"/>
  <c r="E19" i="2"/>
  <c r="D19" i="2"/>
  <c r="C19" i="2"/>
  <c r="B19" i="2"/>
  <c r="A19" i="2"/>
  <c r="BT19" i="2" s="1" a="1"/>
  <c r="BT19" i="2" s="1"/>
  <c r="BQ18" i="2"/>
  <c r="BP18" i="2"/>
  <c r="BF18" i="2"/>
  <c r="BE18" i="2"/>
  <c r="BD18" i="2"/>
  <c r="BC18" i="2"/>
  <c r="BB18" i="2"/>
  <c r="BA18" i="2"/>
  <c r="AT18" i="2"/>
  <c r="AS18" i="2"/>
  <c r="AR18" i="2"/>
  <c r="AQ18" i="2"/>
  <c r="AP18" i="2"/>
  <c r="AO18" i="2"/>
  <c r="AN18" i="2"/>
  <c r="BO18" i="2"/>
  <c r="BN18" i="2"/>
  <c r="BM18" i="2"/>
  <c r="BL18" i="2"/>
  <c r="BK18" i="2"/>
  <c r="BJ18" i="2"/>
  <c r="BI18" i="2"/>
  <c r="BH18" i="2"/>
  <c r="BG18" i="2"/>
  <c r="AZ18" i="2"/>
  <c r="AY18" i="2"/>
  <c r="AX18" i="2"/>
  <c r="AW18" i="2"/>
  <c r="AV18" i="2"/>
  <c r="AU18" i="2"/>
  <c r="AM18" i="2"/>
  <c r="F18" i="2"/>
  <c r="E18" i="2"/>
  <c r="D18" i="2"/>
  <c r="C18" i="2"/>
  <c r="B18" i="2"/>
  <c r="A18" i="2"/>
  <c r="BT18" i="2" s="1" a="1"/>
  <c r="BT18" i="2" s="1"/>
  <c r="BQ17" i="2"/>
  <c r="BP17" i="2"/>
  <c r="BO17" i="2"/>
  <c r="BN17" i="2"/>
  <c r="BM17" i="2"/>
  <c r="BL17" i="2"/>
  <c r="BI17" i="2"/>
  <c r="BE17" i="2"/>
  <c r="BD17" i="2"/>
  <c r="BC17" i="2"/>
  <c r="BB17" i="2"/>
  <c r="BA17" i="2"/>
  <c r="AR17" i="2"/>
  <c r="AQ17" i="2"/>
  <c r="AP17" i="2"/>
  <c r="AO17" i="2"/>
  <c r="AN17" i="2"/>
  <c r="AM17" i="2"/>
  <c r="BK17" i="2"/>
  <c r="BJ17" i="2"/>
  <c r="BH17" i="2"/>
  <c r="BG17" i="2"/>
  <c r="BF17" i="2"/>
  <c r="AZ17" i="2"/>
  <c r="AY17" i="2"/>
  <c r="AX17" i="2"/>
  <c r="AW17" i="2"/>
  <c r="AV17" i="2"/>
  <c r="AU17" i="2"/>
  <c r="AT17" i="2"/>
  <c r="AS17" i="2"/>
  <c r="F17" i="2"/>
  <c r="E17" i="2"/>
  <c r="D17" i="2"/>
  <c r="C17" i="2"/>
  <c r="B17" i="2"/>
  <c r="A17" i="2"/>
  <c r="BT17" i="2" s="1" a="1"/>
  <c r="BT17" i="2" s="1"/>
  <c r="BL16" i="2"/>
  <c r="BK16" i="2"/>
  <c r="BJ16" i="2"/>
  <c r="BH16" i="2"/>
  <c r="BG16" i="2"/>
  <c r="BF16" i="2"/>
  <c r="BB16" i="2"/>
  <c r="AZ16" i="2"/>
  <c r="AY16" i="2"/>
  <c r="AX16" i="2"/>
  <c r="AW16" i="2"/>
  <c r="AT16" i="2"/>
  <c r="AP16" i="2"/>
  <c r="AN16" i="2"/>
  <c r="AM16" i="2"/>
  <c r="BQ16" i="2"/>
  <c r="BP16" i="2"/>
  <c r="BO16" i="2"/>
  <c r="BN16" i="2"/>
  <c r="BM16" i="2"/>
  <c r="BI16" i="2"/>
  <c r="BE16" i="2"/>
  <c r="BD16" i="2"/>
  <c r="BC16" i="2"/>
  <c r="BA16" i="2"/>
  <c r="AV16" i="2"/>
  <c r="AU16" i="2"/>
  <c r="AS16" i="2"/>
  <c r="AR16" i="2"/>
  <c r="AQ16" i="2"/>
  <c r="AO16" i="2"/>
  <c r="F16" i="2"/>
  <c r="E16" i="2"/>
  <c r="D16" i="2"/>
  <c r="C16" i="2"/>
  <c r="B16" i="2"/>
  <c r="A16" i="2"/>
  <c r="BT16" i="2" s="1" a="1"/>
  <c r="BT16" i="2" s="1"/>
  <c r="BP15" i="2"/>
  <c r="BO15" i="2"/>
  <c r="BI15" i="2"/>
  <c r="BH15" i="2"/>
  <c r="BG15" i="2"/>
  <c r="BF15" i="2"/>
  <c r="BE15" i="2"/>
  <c r="BD15" i="2"/>
  <c r="AW15" i="2"/>
  <c r="AV15" i="2"/>
  <c r="AU15" i="2"/>
  <c r="AS15" i="2"/>
  <c r="AR15" i="2"/>
  <c r="AQ15" i="2"/>
  <c r="AM15" i="2"/>
  <c r="BQ15" i="2"/>
  <c r="BN15" i="2"/>
  <c r="BM15" i="2"/>
  <c r="BL15" i="2"/>
  <c r="BK15" i="2"/>
  <c r="BJ15" i="2"/>
  <c r="BC15" i="2"/>
  <c r="BB15" i="2"/>
  <c r="BA15" i="2"/>
  <c r="AZ15" i="2"/>
  <c r="AY15" i="2"/>
  <c r="AX15" i="2"/>
  <c r="AT15" i="2"/>
  <c r="AP15" i="2"/>
  <c r="AO15" i="2"/>
  <c r="AN15" i="2"/>
  <c r="F15" i="2"/>
  <c r="E15" i="2"/>
  <c r="D15" i="2"/>
  <c r="C15" i="2"/>
  <c r="B15" i="2"/>
  <c r="A15" i="2"/>
  <c r="BT15" i="2" s="1" a="1"/>
  <c r="BT15" i="2" s="1"/>
  <c r="BQ14" i="2"/>
  <c r="BP14" i="2"/>
  <c r="BH14" i="2"/>
  <c r="BG14" i="2"/>
  <c r="BF14" i="2"/>
  <c r="BE14" i="2"/>
  <c r="BD14" i="2"/>
  <c r="BB14" i="2"/>
  <c r="BA14" i="2"/>
  <c r="AU14" i="2"/>
  <c r="AT14" i="2"/>
  <c r="AS14" i="2"/>
  <c r="AR14" i="2"/>
  <c r="AP14" i="2"/>
  <c r="BO14" i="2"/>
  <c r="BN14" i="2"/>
  <c r="BM14" i="2"/>
  <c r="BL14" i="2"/>
  <c r="BK14" i="2"/>
  <c r="BJ14" i="2"/>
  <c r="BI14" i="2"/>
  <c r="BC14" i="2"/>
  <c r="AZ14" i="2"/>
  <c r="AY14" i="2"/>
  <c r="AX14" i="2"/>
  <c r="AW14" i="2"/>
  <c r="AV14" i="2"/>
  <c r="AQ14" i="2"/>
  <c r="AO14" i="2"/>
  <c r="AN14" i="2"/>
  <c r="AM14" i="2"/>
  <c r="F14" i="2"/>
  <c r="E14" i="2"/>
  <c r="D14" i="2"/>
  <c r="C14" i="2"/>
  <c r="B14" i="2"/>
  <c r="A14" i="2"/>
  <c r="BT14" i="2" s="1" a="1"/>
  <c r="BT14" i="2" s="1"/>
  <c r="BP13" i="2"/>
  <c r="BO13" i="2"/>
  <c r="BN13" i="2"/>
  <c r="BM13" i="2"/>
  <c r="BL13" i="2"/>
  <c r="BK13" i="2"/>
  <c r="BI13" i="2"/>
  <c r="BC13" i="2"/>
  <c r="BB13" i="2"/>
  <c r="BA13" i="2"/>
  <c r="AW13" i="2"/>
  <c r="AS13" i="2"/>
  <c r="AR13" i="2"/>
  <c r="AQ13" i="2"/>
  <c r="AP13" i="2"/>
  <c r="AO13" i="2"/>
  <c r="BQ13" i="2"/>
  <c r="BJ13" i="2"/>
  <c r="BH13" i="2"/>
  <c r="BG13" i="2"/>
  <c r="BF13" i="2"/>
  <c r="BE13" i="2"/>
  <c r="BD13" i="2"/>
  <c r="AZ13" i="2"/>
  <c r="AY13" i="2"/>
  <c r="AX13" i="2"/>
  <c r="AV13" i="2"/>
  <c r="AU13" i="2"/>
  <c r="AT13" i="2"/>
  <c r="AN13" i="2"/>
  <c r="AM13" i="2"/>
  <c r="F13" i="2"/>
  <c r="E13" i="2"/>
  <c r="D13" i="2"/>
  <c r="C13" i="2"/>
  <c r="B13" i="2"/>
  <c r="A13" i="2"/>
  <c r="BT13" i="2" s="1" a="1"/>
  <c r="BT13" i="2" s="1"/>
  <c r="BL12" i="2"/>
  <c r="BK12" i="2"/>
  <c r="BJ12" i="2"/>
  <c r="BI12" i="2"/>
  <c r="BH12" i="2"/>
  <c r="AZ12" i="2"/>
  <c r="AY12" i="2"/>
  <c r="AX12" i="2"/>
  <c r="AW12" i="2"/>
  <c r="AV12" i="2"/>
  <c r="AU12" i="2"/>
  <c r="AT12" i="2"/>
  <c r="AN12" i="2"/>
  <c r="AM12" i="2"/>
  <c r="BQ12" i="2"/>
  <c r="BP12" i="2"/>
  <c r="BO12" i="2"/>
  <c r="BN12" i="2"/>
  <c r="BM12" i="2"/>
  <c r="BG12" i="2"/>
  <c r="BF12" i="2"/>
  <c r="BE12" i="2"/>
  <c r="BD12" i="2"/>
  <c r="BC12" i="2"/>
  <c r="BB12" i="2"/>
  <c r="BA12" i="2"/>
  <c r="AS12" i="2"/>
  <c r="AR12" i="2"/>
  <c r="AQ12" i="2"/>
  <c r="AP12" i="2"/>
  <c r="AO12" i="2"/>
  <c r="F12" i="2"/>
  <c r="E12" i="2"/>
  <c r="D12" i="2"/>
  <c r="C12" i="2"/>
  <c r="B12" i="2"/>
  <c r="A12" i="2"/>
  <c r="BT12" i="2" s="1" a="1"/>
  <c r="BT12" i="2" s="1"/>
  <c r="BP11" i="2"/>
  <c r="BO11" i="2"/>
  <c r="BK11" i="2"/>
  <c r="BJ11" i="2"/>
  <c r="BI11" i="2"/>
  <c r="BH11" i="2"/>
  <c r="BG11" i="2"/>
  <c r="BD11" i="2"/>
  <c r="AW11" i="2"/>
  <c r="AV11" i="2"/>
  <c r="AU11" i="2"/>
  <c r="AT11" i="2"/>
  <c r="BQ11" i="2"/>
  <c r="BN11" i="2"/>
  <c r="BM11" i="2"/>
  <c r="BL11" i="2"/>
  <c r="BF11" i="2"/>
  <c r="BE11" i="2"/>
  <c r="BC11" i="2"/>
  <c r="BB11" i="2"/>
  <c r="BA11" i="2"/>
  <c r="AZ11" i="2"/>
  <c r="AY11" i="2"/>
  <c r="AX11" i="2"/>
  <c r="AS11" i="2"/>
  <c r="AR11" i="2"/>
  <c r="AQ11" i="2"/>
  <c r="AP11" i="2"/>
  <c r="AO11" i="2"/>
  <c r="AN11" i="2"/>
  <c r="AM11" i="2"/>
  <c r="F11" i="2"/>
  <c r="E11" i="2"/>
  <c r="D11" i="2"/>
  <c r="C11" i="2"/>
  <c r="B11" i="2"/>
  <c r="A11" i="2"/>
  <c r="BT11" i="2" s="1" a="1"/>
  <c r="BT11" i="2" s="1"/>
  <c r="BQ10" i="2"/>
  <c r="BP10" i="2"/>
  <c r="BO10" i="2"/>
  <c r="BF10" i="2"/>
  <c r="BE10" i="2"/>
  <c r="BD10" i="2"/>
  <c r="AV10" i="2"/>
  <c r="AU10" i="2"/>
  <c r="AT10" i="2"/>
  <c r="AS10" i="2"/>
  <c r="AR10" i="2"/>
  <c r="BN10" i="2"/>
  <c r="BM10" i="2"/>
  <c r="BL10" i="2"/>
  <c r="BK10" i="2"/>
  <c r="BJ10" i="2"/>
  <c r="BI10" i="2"/>
  <c r="BH10" i="2"/>
  <c r="BG10" i="2"/>
  <c r="BC10" i="2"/>
  <c r="BB10" i="2"/>
  <c r="BA10" i="2"/>
  <c r="AZ10" i="2"/>
  <c r="AY10" i="2"/>
  <c r="AX10" i="2"/>
  <c r="AW10" i="2"/>
  <c r="AQ10" i="2"/>
  <c r="AP10" i="2"/>
  <c r="AO10" i="2"/>
  <c r="AN10" i="2"/>
  <c r="AM10" i="2"/>
  <c r="F10" i="2"/>
  <c r="E10" i="2"/>
  <c r="D10" i="2"/>
  <c r="C10" i="2"/>
  <c r="B10" i="2"/>
  <c r="A10" i="2"/>
  <c r="BT10" i="2" s="1" a="1"/>
  <c r="BT10" i="2" s="1"/>
  <c r="BO9" i="2"/>
  <c r="BN9" i="2"/>
  <c r="BM9" i="2"/>
  <c r="BJ9" i="2"/>
  <c r="BI9" i="2"/>
  <c r="BG9" i="2"/>
  <c r="BC9" i="2"/>
  <c r="BB9" i="2"/>
  <c r="BA9" i="2"/>
  <c r="AZ9" i="2"/>
  <c r="AX9" i="2"/>
  <c r="AR9" i="2"/>
  <c r="AQ9" i="2"/>
  <c r="AP9" i="2"/>
  <c r="AO9" i="2"/>
  <c r="AN9" i="2"/>
  <c r="AM9" i="2"/>
  <c r="BQ9" i="2"/>
  <c r="BP9" i="2"/>
  <c r="BL9" i="2"/>
  <c r="BK9" i="2"/>
  <c r="BH9" i="2"/>
  <c r="BF9" i="2"/>
  <c r="BE9" i="2"/>
  <c r="BD9" i="2"/>
  <c r="AY9" i="2"/>
  <c r="AW9" i="2"/>
  <c r="AV9" i="2"/>
  <c r="AU9" i="2"/>
  <c r="AT9" i="2"/>
  <c r="AS9" i="2"/>
  <c r="F9" i="2"/>
  <c r="E9" i="2"/>
  <c r="D9" i="2"/>
  <c r="C9" i="2"/>
  <c r="B9" i="2"/>
  <c r="A9" i="2"/>
  <c r="BP8" i="2"/>
  <c r="BM8" i="2"/>
  <c r="BL8" i="2"/>
  <c r="BK8" i="2"/>
  <c r="BJ8" i="2"/>
  <c r="BH8" i="2"/>
  <c r="BG8" i="2"/>
  <c r="BF8" i="2"/>
  <c r="BD8" i="2"/>
  <c r="BA8" i="2"/>
  <c r="AZ8" i="2"/>
  <c r="AX8" i="2"/>
  <c r="AT8" i="2"/>
  <c r="AR8" i="2"/>
  <c r="AO8" i="2"/>
  <c r="AN8" i="2"/>
  <c r="BQ8" i="2"/>
  <c r="BO8" i="2"/>
  <c r="BN8" i="2"/>
  <c r="BI8" i="2"/>
  <c r="BE8" i="2"/>
  <c r="BC8" i="2"/>
  <c r="BB8" i="2"/>
  <c r="AY8" i="2"/>
  <c r="AW8" i="2"/>
  <c r="AV8" i="2"/>
  <c r="AU8" i="2"/>
  <c r="AS8" i="2"/>
  <c r="AQ8" i="2"/>
  <c r="AP8" i="2"/>
  <c r="AM8" i="2"/>
  <c r="F8" i="2"/>
  <c r="E8" i="2"/>
  <c r="D8" i="2"/>
  <c r="C8" i="2"/>
  <c r="B8" i="2"/>
  <c r="A8" i="2"/>
  <c r="BT8" i="2" s="1" a="1"/>
  <c r="BT8" i="2" s="1"/>
  <c r="BQ7" i="2"/>
  <c r="BP7" i="2"/>
  <c r="BK7" i="2"/>
  <c r="BJ7" i="2"/>
  <c r="BI7" i="2"/>
  <c r="BH7" i="2"/>
  <c r="BF7" i="2"/>
  <c r="AY7" i="2"/>
  <c r="AX7" i="2"/>
  <c r="AW7" i="2"/>
  <c r="AV7" i="2"/>
  <c r="AT7" i="2"/>
  <c r="BO7" i="2"/>
  <c r="BN7" i="2"/>
  <c r="BM7" i="2"/>
  <c r="BL7" i="2"/>
  <c r="BG7" i="2"/>
  <c r="BE7" i="2"/>
  <c r="BD7" i="2"/>
  <c r="BC7" i="2"/>
  <c r="BB7" i="2"/>
  <c r="BA7" i="2"/>
  <c r="AZ7" i="2"/>
  <c r="AU7" i="2"/>
  <c r="AS7" i="2"/>
  <c r="AR7" i="2"/>
  <c r="AQ7" i="2"/>
  <c r="AP7" i="2"/>
  <c r="AO7" i="2"/>
  <c r="AN7" i="2"/>
  <c r="AM7" i="2"/>
  <c r="F7" i="2"/>
  <c r="E7" i="2"/>
  <c r="D7" i="2"/>
  <c r="C7" i="2"/>
  <c r="B7" i="2"/>
  <c r="A7" i="2"/>
  <c r="BT7" i="2" s="1" a="1"/>
  <c r="BT7" i="2" s="1"/>
  <c r="BQ6" i="2"/>
  <c r="BP6" i="2"/>
  <c r="BO6" i="2"/>
  <c r="BN6" i="2"/>
  <c r="BF6" i="2"/>
  <c r="BE6" i="2"/>
  <c r="BD6" i="2"/>
  <c r="BC6" i="2"/>
  <c r="BB6" i="2"/>
  <c r="AZ6" i="2"/>
  <c r="AT6" i="2"/>
  <c r="AS6" i="2"/>
  <c r="AR6" i="2"/>
  <c r="AQ6" i="2"/>
  <c r="AP6" i="2"/>
  <c r="AO6" i="2"/>
  <c r="AN6" i="2"/>
  <c r="BM6" i="2"/>
  <c r="BL6" i="2"/>
  <c r="BK6" i="2"/>
  <c r="BJ6" i="2"/>
  <c r="BI6" i="2"/>
  <c r="BH6" i="2"/>
  <c r="BG6" i="2"/>
  <c r="BA6" i="2"/>
  <c r="AY6" i="2"/>
  <c r="AX6" i="2"/>
  <c r="AW6" i="2"/>
  <c r="AV6" i="2"/>
  <c r="AU6" i="2"/>
  <c r="AM6" i="2"/>
  <c r="F6" i="2"/>
  <c r="E6" i="2"/>
  <c r="D6" i="2"/>
  <c r="C6" i="2"/>
  <c r="B6" i="2"/>
  <c r="A6" i="2"/>
  <c r="BO5" i="2"/>
  <c r="BL5" i="2"/>
  <c r="BK5" i="2"/>
  <c r="BJ5" i="2"/>
  <c r="BI5" i="2"/>
  <c r="BG5" i="2"/>
  <c r="BC5" i="2"/>
  <c r="AZ5" i="2"/>
  <c r="AY5" i="2"/>
  <c r="AX5" i="2"/>
  <c r="AW5" i="2"/>
  <c r="AU5" i="2"/>
  <c r="AT5" i="2"/>
  <c r="AQ5" i="2"/>
  <c r="AM5" i="2"/>
  <c r="BQ5" i="2"/>
  <c r="BP5" i="2"/>
  <c r="BN5" i="2"/>
  <c r="BM5" i="2"/>
  <c r="BH5" i="2"/>
  <c r="BF5" i="2"/>
  <c r="BE5" i="2"/>
  <c r="BD5" i="2"/>
  <c r="BB5" i="2"/>
  <c r="BA5" i="2"/>
  <c r="AV5" i="2"/>
  <c r="AS5" i="2"/>
  <c r="AR5" i="2"/>
  <c r="AP5" i="2"/>
  <c r="AO5" i="2"/>
  <c r="AN5" i="2"/>
  <c r="F5" i="2"/>
  <c r="E5" i="2"/>
  <c r="D5" i="2"/>
  <c r="C5" i="2"/>
  <c r="B5" i="2"/>
  <c r="A5" i="2"/>
  <c r="BP4" i="2"/>
  <c r="BO4" i="2"/>
  <c r="BN4" i="2"/>
  <c r="BM4" i="2"/>
  <c r="BL4" i="2"/>
  <c r="BF4" i="2"/>
  <c r="BD4" i="2"/>
  <c r="BC4" i="2"/>
  <c r="BA4" i="2"/>
  <c r="AZ4" i="2"/>
  <c r="AT4" i="2"/>
  <c r="AR4" i="2"/>
  <c r="AQ4" i="2"/>
  <c r="AP4" i="2"/>
  <c r="AO4" i="2"/>
  <c r="AN4" i="2"/>
  <c r="BQ4" i="2"/>
  <c r="BK4" i="2"/>
  <c r="BJ4" i="2"/>
  <c r="BI4" i="2"/>
  <c r="BH4" i="2"/>
  <c r="BG4" i="2"/>
  <c r="BE4" i="2"/>
  <c r="BB4" i="2"/>
  <c r="AY4" i="2"/>
  <c r="AX4" i="2"/>
  <c r="AW4" i="2"/>
  <c r="AV4" i="2"/>
  <c r="AU4" i="2"/>
  <c r="AS4" i="2"/>
  <c r="AM4" i="2"/>
  <c r="F4" i="2"/>
  <c r="E4" i="2"/>
  <c r="D4" i="2"/>
  <c r="C4" i="2"/>
  <c r="B4" i="2"/>
  <c r="A4" i="2"/>
  <c r="BQ3" i="2"/>
  <c r="BP3" i="2"/>
  <c r="BO3" i="2"/>
  <c r="BN3" i="2"/>
  <c r="BM3" i="2"/>
  <c r="BL3" i="2"/>
  <c r="BJ3" i="2"/>
  <c r="BG3" i="2"/>
  <c r="BE3" i="2"/>
  <c r="BD3" i="2"/>
  <c r="BB3" i="2"/>
  <c r="AZ3" i="2"/>
  <c r="AV3" i="2"/>
  <c r="AT3" i="2"/>
  <c r="AR3" i="2"/>
  <c r="AQ3" i="2"/>
  <c r="AP3" i="2"/>
  <c r="AN3" i="2"/>
  <c r="AM3" i="2"/>
  <c r="BK3" i="2"/>
  <c r="BI3" i="2"/>
  <c r="BH3" i="2"/>
  <c r="BF3" i="2"/>
  <c r="BC3" i="2"/>
  <c r="BA3" i="2"/>
  <c r="AY3" i="2"/>
  <c r="AX3" i="2"/>
  <c r="AW3" i="2"/>
  <c r="AU3" i="2"/>
  <c r="AS3" i="2"/>
  <c r="AO3" i="2"/>
  <c r="F3" i="2"/>
  <c r="E3" i="2"/>
  <c r="D3" i="2"/>
  <c r="C3" i="2"/>
  <c r="B3" i="2"/>
  <c r="A3" i="2"/>
  <c r="BQ2" i="2"/>
  <c r="BP2" i="2"/>
  <c r="BO2" i="2"/>
  <c r="BN2" i="2"/>
  <c r="BG2" i="2"/>
  <c r="BE2" i="2"/>
  <c r="BC2" i="2"/>
  <c r="BB2" i="2"/>
  <c r="AY2" i="2"/>
  <c r="AW2" i="2"/>
  <c r="AU2" i="2"/>
  <c r="AS2" i="2"/>
  <c r="AQ2" i="2"/>
  <c r="AP2" i="2"/>
  <c r="AM2" i="2"/>
  <c r="BM2" i="2"/>
  <c r="BL2" i="2"/>
  <c r="BK2" i="2"/>
  <c r="CY2" i="2" s="1"/>
  <c r="BJ2" i="2"/>
  <c r="BI2" i="2"/>
  <c r="BH2" i="2"/>
  <c r="BF2" i="2"/>
  <c r="BD2" i="2"/>
  <c r="BA2" i="2"/>
  <c r="AZ2" i="2"/>
  <c r="AX2" i="2"/>
  <c r="AV2" i="2"/>
  <c r="AT2" i="2"/>
  <c r="AR2" i="2"/>
  <c r="AO2" i="2"/>
  <c r="AN2" i="2"/>
  <c r="F2" i="2"/>
  <c r="E2" i="2"/>
  <c r="D2" i="2"/>
  <c r="C2" i="2"/>
  <c r="B2" i="2"/>
  <c r="A2" i="2"/>
  <c r="BB1" i="2"/>
  <c r="AQ69" i="1"/>
  <c r="AP69" i="1"/>
  <c r="AO69" i="1"/>
  <c r="AN69" i="1"/>
  <c r="AM69" i="1"/>
  <c r="AQ68" i="1"/>
  <c r="AP68" i="1"/>
  <c r="AO68" i="1"/>
  <c r="AN68" i="1"/>
  <c r="AM68" i="1"/>
  <c r="AQ67" i="1"/>
  <c r="AP67" i="1"/>
  <c r="AO67" i="1"/>
  <c r="AN67" i="1"/>
  <c r="AM67" i="1"/>
  <c r="AQ66" i="1"/>
  <c r="AP66" i="1"/>
  <c r="AO66" i="1"/>
  <c r="AN66" i="1"/>
  <c r="AM66" i="1"/>
  <c r="AQ65" i="1"/>
  <c r="AP65" i="1"/>
  <c r="AO65" i="1"/>
  <c r="AN65" i="1"/>
  <c r="AM65" i="1"/>
  <c r="AQ64" i="1"/>
  <c r="AP64" i="1"/>
  <c r="AO64" i="1"/>
  <c r="AN64" i="1"/>
  <c r="AM64" i="1"/>
  <c r="AQ63" i="1"/>
  <c r="AP63" i="1"/>
  <c r="AO63" i="1"/>
  <c r="AN63" i="1"/>
  <c r="AM63" i="1"/>
  <c r="AQ62" i="1"/>
  <c r="AP62" i="1"/>
  <c r="AO62" i="1"/>
  <c r="AN62" i="1"/>
  <c r="AM62" i="1"/>
  <c r="AQ61" i="1"/>
  <c r="AP61" i="1"/>
  <c r="AO61" i="1"/>
  <c r="AN61" i="1"/>
  <c r="AM61" i="1"/>
  <c r="AQ60" i="1"/>
  <c r="AP60" i="1"/>
  <c r="AO60" i="1"/>
  <c r="AN60" i="1"/>
  <c r="AM60" i="1"/>
  <c r="AQ59" i="1"/>
  <c r="AP59" i="1"/>
  <c r="AO59" i="1"/>
  <c r="AN59" i="1"/>
  <c r="AM59" i="1"/>
  <c r="AQ58" i="1"/>
  <c r="AP58" i="1"/>
  <c r="AO58" i="1"/>
  <c r="AN58" i="1"/>
  <c r="AM58" i="1"/>
  <c r="AQ57" i="1"/>
  <c r="AP57" i="1"/>
  <c r="AO57" i="1"/>
  <c r="AN57" i="1"/>
  <c r="AM57" i="1"/>
  <c r="AQ56" i="1"/>
  <c r="AP56" i="1"/>
  <c r="AO56" i="1"/>
  <c r="AN56" i="1"/>
  <c r="AM56" i="1"/>
  <c r="AQ55" i="1"/>
  <c r="AP55" i="1"/>
  <c r="AO55" i="1"/>
  <c r="AN55" i="1"/>
  <c r="AM55" i="1"/>
  <c r="AQ54" i="1"/>
  <c r="AP54" i="1"/>
  <c r="AO54" i="1"/>
  <c r="AN54" i="1"/>
  <c r="AM54" i="1"/>
  <c r="AQ53" i="1"/>
  <c r="AP53" i="1"/>
  <c r="AO53" i="1"/>
  <c r="AN53" i="1"/>
  <c r="AM53" i="1"/>
  <c r="AQ52" i="1"/>
  <c r="AP52" i="1"/>
  <c r="AO52" i="1"/>
  <c r="AN52" i="1"/>
  <c r="AM52" i="1"/>
  <c r="AQ51" i="1"/>
  <c r="AP51" i="1"/>
  <c r="AO51" i="1"/>
  <c r="AN51" i="1"/>
  <c r="AM51" i="1"/>
  <c r="AQ50" i="1"/>
  <c r="AP50" i="1"/>
  <c r="AO50" i="1"/>
  <c r="AN50" i="1"/>
  <c r="AM50" i="1"/>
  <c r="AQ49" i="1"/>
  <c r="AP49" i="1"/>
  <c r="AO49" i="1"/>
  <c r="AN49" i="1"/>
  <c r="AM49" i="1"/>
  <c r="AQ48" i="1"/>
  <c r="AP48" i="1"/>
  <c r="AO48" i="1"/>
  <c r="AN48" i="1"/>
  <c r="AM48" i="1"/>
  <c r="AQ47" i="1"/>
  <c r="AP47" i="1"/>
  <c r="AO47" i="1"/>
  <c r="AN47" i="1"/>
  <c r="AM47" i="1"/>
  <c r="AQ46" i="1"/>
  <c r="AP46" i="1"/>
  <c r="AO46" i="1"/>
  <c r="AN46" i="1"/>
  <c r="AM46" i="1"/>
  <c r="AQ45" i="1"/>
  <c r="AP45" i="1"/>
  <c r="AO45" i="1"/>
  <c r="AN45" i="1"/>
  <c r="AM45" i="1"/>
  <c r="AQ44" i="1"/>
  <c r="AP44" i="1"/>
  <c r="AO44" i="1"/>
  <c r="AN44" i="1"/>
  <c r="AM44" i="1"/>
  <c r="AQ43" i="1"/>
  <c r="AP43" i="1"/>
  <c r="AO43" i="1"/>
  <c r="AN43" i="1"/>
  <c r="AM43" i="1"/>
  <c r="AQ42" i="1"/>
  <c r="AP42" i="1"/>
  <c r="AO42" i="1"/>
  <c r="AN42" i="1"/>
  <c r="AM42" i="1"/>
  <c r="AQ41" i="1"/>
  <c r="AP41" i="1"/>
  <c r="AO41" i="1"/>
  <c r="AN41" i="1"/>
  <c r="AM41" i="1"/>
  <c r="AQ40" i="1"/>
  <c r="AP40" i="1"/>
  <c r="AO40" i="1"/>
  <c r="AN40" i="1"/>
  <c r="AM40" i="1"/>
  <c r="AQ39" i="1"/>
  <c r="AP39" i="1"/>
  <c r="AO39" i="1"/>
  <c r="AN39" i="1"/>
  <c r="AM39" i="1"/>
  <c r="AQ38" i="1"/>
  <c r="AP38" i="1"/>
  <c r="AO38" i="1"/>
  <c r="AN38" i="1"/>
  <c r="AM38" i="1"/>
  <c r="AQ37" i="1"/>
  <c r="AP37" i="1"/>
  <c r="AO37" i="1"/>
  <c r="AN37" i="1"/>
  <c r="AM37" i="1"/>
  <c r="AQ36" i="1"/>
  <c r="AP36" i="1"/>
  <c r="AO36" i="1"/>
  <c r="AN36" i="1"/>
  <c r="AM36" i="1"/>
  <c r="AQ35" i="1"/>
  <c r="AP35" i="1"/>
  <c r="AO35" i="1"/>
  <c r="AN35" i="1"/>
  <c r="AM35" i="1"/>
  <c r="AQ34" i="1"/>
  <c r="AP34" i="1"/>
  <c r="AO34" i="1"/>
  <c r="AN34" i="1"/>
  <c r="AM34" i="1"/>
  <c r="AQ33" i="1"/>
  <c r="AP33" i="1"/>
  <c r="AO33" i="1"/>
  <c r="AN33" i="1"/>
  <c r="AM33" i="1"/>
  <c r="AQ32" i="1"/>
  <c r="AP32" i="1"/>
  <c r="AO32" i="1"/>
  <c r="AN32" i="1"/>
  <c r="AM32" i="1"/>
  <c r="AQ31" i="1"/>
  <c r="AP31" i="1"/>
  <c r="AO31" i="1"/>
  <c r="AN31" i="1"/>
  <c r="AM31" i="1"/>
  <c r="AQ30" i="1"/>
  <c r="AP30" i="1"/>
  <c r="AO30" i="1"/>
  <c r="AN30" i="1"/>
  <c r="AM30" i="1"/>
  <c r="AQ29" i="1"/>
  <c r="AP29" i="1"/>
  <c r="AO29" i="1"/>
  <c r="AN29" i="1"/>
  <c r="AM29" i="1"/>
  <c r="AQ28" i="1"/>
  <c r="AP28" i="1"/>
  <c r="AO28" i="1"/>
  <c r="AN28" i="1"/>
  <c r="AM28" i="1"/>
  <c r="AQ27" i="1"/>
  <c r="AP27" i="1"/>
  <c r="AO27" i="1"/>
  <c r="AN27" i="1"/>
  <c r="AM27" i="1"/>
  <c r="AQ26" i="1"/>
  <c r="AP26" i="1"/>
  <c r="AO26" i="1"/>
  <c r="AN26" i="1"/>
  <c r="AM26" i="1"/>
  <c r="AQ25" i="1"/>
  <c r="AP25" i="1"/>
  <c r="AO25" i="1"/>
  <c r="AN25" i="1"/>
  <c r="AM25" i="1"/>
  <c r="B8" i="1"/>
  <c r="BA2" i="1"/>
  <c r="AD16" i="1" s="1"/>
  <c r="CW1" i="2" s="1"/>
  <c r="I16" i="1" l="1"/>
  <c r="H16" i="1"/>
  <c r="BT9" i="2" a="1"/>
  <c r="BT9" i="2" s="1"/>
  <c r="BT6" i="2" a="1"/>
  <c r="BT6" i="2" s="1"/>
  <c r="BT4" i="2" a="1"/>
  <c r="BT4" i="2" s="1"/>
  <c r="AQ22" i="1" s="1"/>
  <c r="AP22" i="1" s="1"/>
  <c r="CY3" i="2"/>
  <c r="BT5" i="2" a="1"/>
  <c r="BT5" i="2" s="1"/>
  <c r="AQ23" i="1" s="1"/>
  <c r="BT3" i="2" a="1"/>
  <c r="BT3" i="2" s="1"/>
  <c r="AQ21" i="1" s="1"/>
  <c r="AP21" i="1" s="1"/>
  <c r="BT2" i="2" a="1"/>
  <c r="BT2" i="2" s="1"/>
  <c r="AQ20" i="1" s="1"/>
  <c r="AQ24" i="1"/>
  <c r="AR24" i="1" s="1" a="1"/>
  <c r="AR24" i="1" s="1"/>
  <c r="Z16" i="1"/>
  <c r="CS1" i="2" s="1"/>
  <c r="AA16" i="1"/>
  <c r="CT1" i="2" s="1"/>
  <c r="AI16" i="1"/>
  <c r="AJ16" i="1"/>
  <c r="K16" i="1"/>
  <c r="CD1" i="2" s="1"/>
  <c r="AK16" i="1"/>
  <c r="DD1" i="2" s="1"/>
  <c r="O16" i="1"/>
  <c r="CH1" i="2" s="1"/>
  <c r="AL16" i="1"/>
  <c r="R16" i="1"/>
  <c r="S16" i="1"/>
  <c r="T16" i="1"/>
  <c r="W16" i="1"/>
  <c r="CP1" i="2" s="1"/>
  <c r="X16" i="1"/>
  <c r="CQ1" i="2" s="1"/>
  <c r="Y16" i="1"/>
  <c r="CR1" i="2" s="1"/>
  <c r="CX2" i="2"/>
  <c r="CX3" i="2" s="1"/>
  <c r="CJ2" i="2"/>
  <c r="CJ3" i="2" s="1"/>
  <c r="DC2" i="2"/>
  <c r="DC3" i="2" s="1"/>
  <c r="CE2" i="2"/>
  <c r="CE3" i="2" s="1"/>
  <c r="AM23" i="1"/>
  <c r="AN23" i="1" s="1"/>
  <c r="K1" i="2"/>
  <c r="CR2" i="2"/>
  <c r="CR3" i="2" s="1"/>
  <c r="L1" i="2"/>
  <c r="CK2" i="2"/>
  <c r="CK3" i="2" s="1"/>
  <c r="AG1" i="2"/>
  <c r="AH1" i="2"/>
  <c r="CU2" i="2"/>
  <c r="CU3" i="2" s="1"/>
  <c r="AZ1" i="2"/>
  <c r="AD18" i="1"/>
  <c r="AD17" i="1"/>
  <c r="CC2" i="2"/>
  <c r="CC3" i="2" s="1"/>
  <c r="DA2" i="2"/>
  <c r="DA3" i="2" s="1"/>
  <c r="CT2" i="2"/>
  <c r="CT3" i="2" s="1"/>
  <c r="CH2" i="2"/>
  <c r="CH3" i="2" s="1"/>
  <c r="AM21" i="1"/>
  <c r="CW2" i="2"/>
  <c r="CW3" i="2" s="1"/>
  <c r="CI2" i="2"/>
  <c r="CI3" i="2" s="1"/>
  <c r="CF2" i="2"/>
  <c r="CF3" i="2" s="1"/>
  <c r="CQ2" i="2"/>
  <c r="CQ3" i="2" s="1"/>
  <c r="CL2" i="2"/>
  <c r="CL3" i="2" s="1"/>
  <c r="CV2" i="2"/>
  <c r="CV3" i="2" s="1"/>
  <c r="CN2" i="2"/>
  <c r="CN3" i="2" s="1"/>
  <c r="M1" i="2"/>
  <c r="AI1" i="2"/>
  <c r="BE1" i="2"/>
  <c r="CM2" i="2"/>
  <c r="CM3" i="2" s="1"/>
  <c r="DE2" i="2"/>
  <c r="DE3" i="2" s="1"/>
  <c r="BG1" i="2"/>
  <c r="AS1" i="2"/>
  <c r="CZ2" i="2"/>
  <c r="CZ3" i="2" s="1"/>
  <c r="AK17" i="1"/>
  <c r="AM24" i="1"/>
  <c r="AJ1" i="2"/>
  <c r="CP2" i="2"/>
  <c r="CP3" i="2" s="1"/>
  <c r="AK1" i="2"/>
  <c r="L16" i="1"/>
  <c r="CE1" i="2" s="1"/>
  <c r="X1" i="2"/>
  <c r="AT1" i="2"/>
  <c r="BN1" i="2"/>
  <c r="BP1" i="2"/>
  <c r="BD1" i="2"/>
  <c r="AR1" i="2"/>
  <c r="AF1" i="2"/>
  <c r="T1" i="2"/>
  <c r="H1" i="2"/>
  <c r="BO1" i="2"/>
  <c r="BC1" i="2"/>
  <c r="AQ1" i="2"/>
  <c r="AE1" i="2"/>
  <c r="S1" i="2"/>
  <c r="BM1" i="2"/>
  <c r="BA1" i="2"/>
  <c r="AO1" i="2"/>
  <c r="AC1" i="2"/>
  <c r="Q1" i="2"/>
  <c r="BK1" i="2"/>
  <c r="AY1" i="2"/>
  <c r="AM1" i="2"/>
  <c r="AA1" i="2"/>
  <c r="O1" i="2"/>
  <c r="BJ1" i="2"/>
  <c r="AX1" i="2"/>
  <c r="AL1" i="2"/>
  <c r="Z1" i="2"/>
  <c r="N1" i="2"/>
  <c r="AM22" i="1"/>
  <c r="R1" i="2"/>
  <c r="U1" i="2"/>
  <c r="AN1" i="2"/>
  <c r="AP1" i="2"/>
  <c r="CS2" i="2"/>
  <c r="CS3" i="2" s="1"/>
  <c r="AH16" i="1"/>
  <c r="DA1" i="2" s="1"/>
  <c r="V16" i="1"/>
  <c r="CO1" i="2" s="1"/>
  <c r="J16" i="1"/>
  <c r="CC1" i="2" s="1"/>
  <c r="AG16" i="1"/>
  <c r="CZ1" i="2" s="1"/>
  <c r="U16" i="1"/>
  <c r="CN1" i="2" s="1"/>
  <c r="AC16" i="1"/>
  <c r="CV1" i="2" s="1"/>
  <c r="Q16" i="1"/>
  <c r="CJ1" i="2" s="1"/>
  <c r="AB16" i="1"/>
  <c r="CU1" i="2" s="1"/>
  <c r="P16" i="1"/>
  <c r="CI1" i="2" s="1"/>
  <c r="M16" i="1"/>
  <c r="CF1" i="2" s="1"/>
  <c r="AE16" i="1"/>
  <c r="CX1" i="2" s="1"/>
  <c r="Y1" i="2"/>
  <c r="AU1" i="2"/>
  <c r="BQ1" i="2"/>
  <c r="CB2" i="2"/>
  <c r="CB3" i="2" s="1"/>
  <c r="DD2" i="2"/>
  <c r="DD3" i="2" s="1"/>
  <c r="P1" i="2"/>
  <c r="BF1" i="2"/>
  <c r="BH1" i="2"/>
  <c r="V1" i="2"/>
  <c r="BI1" i="2"/>
  <c r="AM20" i="1"/>
  <c r="CA2" i="2"/>
  <c r="CA3" i="2" s="1"/>
  <c r="W1" i="2"/>
  <c r="BL1" i="2"/>
  <c r="CD2" i="2"/>
  <c r="CD3" i="2" s="1"/>
  <c r="BA3" i="1"/>
  <c r="N16" i="1"/>
  <c r="CG1" i="2" s="1"/>
  <c r="AF16" i="1"/>
  <c r="CY1" i="2" s="1"/>
  <c r="I1" i="2"/>
  <c r="AB1" i="2"/>
  <c r="AV1" i="2"/>
  <c r="CG2" i="2"/>
  <c r="CG3" i="2" s="1"/>
  <c r="J1" i="2"/>
  <c r="AD1" i="2"/>
  <c r="AW1" i="2"/>
  <c r="DB2" i="2"/>
  <c r="DB3" i="2" s="1"/>
  <c r="CO2" i="2"/>
  <c r="CO3" i="2" s="1"/>
  <c r="AK18" i="1" l="1"/>
  <c r="AI18" i="1"/>
  <c r="DB1" i="2"/>
  <c r="AT16" i="1" a="1"/>
  <c r="AT16" i="1" s="1"/>
  <c r="AT18" i="1" a="1"/>
  <c r="AT18" i="1" s="1"/>
  <c r="T17" i="1"/>
  <c r="CM1" i="2"/>
  <c r="S17" i="1"/>
  <c r="CL1" i="2"/>
  <c r="AT11" i="1" a="1"/>
  <c r="AT11" i="1" s="1"/>
  <c r="R18" i="1"/>
  <c r="CK1" i="2"/>
  <c r="AT12" i="1" a="1"/>
  <c r="AT12" i="1" s="1"/>
  <c r="AT10" i="1" a="1"/>
  <c r="AT10" i="1" s="1"/>
  <c r="AL17" i="1"/>
  <c r="DE1" i="2"/>
  <c r="AT9" i="1" a="1"/>
  <c r="AT9" i="1" s="1"/>
  <c r="AT15" i="1" a="1"/>
  <c r="AT15" i="1" s="1"/>
  <c r="AT17" i="1" a="1"/>
  <c r="AT17" i="1" s="1"/>
  <c r="H17" i="1"/>
  <c r="CA1" i="2"/>
  <c r="H18" i="1"/>
  <c r="Y18" i="1"/>
  <c r="AT13" i="1" a="1"/>
  <c r="AT13" i="1" s="1"/>
  <c r="I17" i="1"/>
  <c r="CB1" i="2"/>
  <c r="I18" i="1"/>
  <c r="Y17" i="1"/>
  <c r="AJ18" i="1"/>
  <c r="DC1" i="2"/>
  <c r="AT14" i="1" a="1"/>
  <c r="AT14" i="1" s="1"/>
  <c r="AT19" i="1" a="1"/>
  <c r="AT19" i="1" s="1"/>
  <c r="AP23" i="1"/>
  <c r="AP24" i="1"/>
  <c r="E12" i="1"/>
  <c r="AP20" i="1"/>
  <c r="D16" i="1"/>
  <c r="AO23" i="1"/>
  <c r="AR23" i="1" s="1" a="1"/>
  <c r="AR23" i="1" s="1"/>
  <c r="R17" i="1"/>
  <c r="AJ17" i="1"/>
  <c r="AI17" i="1"/>
  <c r="T18" i="1"/>
  <c r="K18" i="1"/>
  <c r="K17" i="1"/>
  <c r="AL18" i="1"/>
  <c r="O17" i="1"/>
  <c r="O18" i="1"/>
  <c r="S18" i="1"/>
  <c r="AA17" i="1"/>
  <c r="AA18" i="1"/>
  <c r="W18" i="1"/>
  <c r="W17" i="1"/>
  <c r="X18" i="1"/>
  <c r="X17" i="1"/>
  <c r="Z17" i="1"/>
  <c r="Z18" i="1"/>
  <c r="AN20" i="1"/>
  <c r="E8" i="1"/>
  <c r="H8" i="1" s="1"/>
  <c r="G62" i="2" s="1"/>
  <c r="AO20" i="1"/>
  <c r="AR20" i="1" s="1" a="1"/>
  <c r="AR20" i="1" s="1"/>
  <c r="J17" i="1"/>
  <c r="J18" i="1"/>
  <c r="AC18" i="1"/>
  <c r="AC17" i="1"/>
  <c r="U17" i="1"/>
  <c r="U18" i="1"/>
  <c r="AN22" i="1"/>
  <c r="AO22" i="1"/>
  <c r="AR22" i="1" s="1" a="1"/>
  <c r="AR22" i="1" s="1"/>
  <c r="H12" i="1"/>
  <c r="AG17" i="1"/>
  <c r="AG18" i="1"/>
  <c r="V18" i="1"/>
  <c r="V17" i="1"/>
  <c r="AF17" i="1"/>
  <c r="AF18" i="1"/>
  <c r="AH18" i="1"/>
  <c r="AH17" i="1"/>
  <c r="AN24" i="1"/>
  <c r="AO24" i="1"/>
  <c r="N17" i="1"/>
  <c r="N18" i="1"/>
  <c r="M17" i="1"/>
  <c r="M18" i="1"/>
  <c r="L18" i="1"/>
  <c r="L17" i="1"/>
  <c r="AO21" i="1"/>
  <c r="AR21" i="1" s="1" a="1"/>
  <c r="AR21" i="1" s="1"/>
  <c r="AN21" i="1"/>
  <c r="AE17" i="1"/>
  <c r="AE18" i="1"/>
  <c r="P18" i="1"/>
  <c r="P17" i="1"/>
  <c r="AB17" i="1"/>
  <c r="AB18" i="1"/>
  <c r="Q18" i="1"/>
  <c r="Q17" i="1"/>
  <c r="B61" i="2" l="1"/>
  <c r="C66" i="2"/>
  <c r="K12" i="1"/>
  <c r="C64" i="2"/>
  <c r="C61" i="2"/>
  <c r="C65" i="2"/>
  <c r="B63" i="2"/>
  <c r="C63" i="2"/>
  <c r="B65" i="2"/>
  <c r="D65" i="2" s="1"/>
  <c r="C62" i="2"/>
  <c r="B64" i="2"/>
  <c r="D64" i="2" s="1"/>
  <c r="B62" i="2"/>
  <c r="D62" i="2" s="1"/>
  <c r="B66" i="2"/>
  <c r="B12" i="1"/>
  <c r="AT36" i="1" a="1"/>
  <c r="AT36" i="1" s="1"/>
  <c r="AT43" i="1" a="1"/>
  <c r="AT43" i="1" s="1"/>
  <c r="AT37" i="1" a="1"/>
  <c r="AT37" i="1" s="1"/>
  <c r="AT44" i="1" a="1"/>
  <c r="AT44" i="1" s="1"/>
  <c r="AT38" i="1" a="1"/>
  <c r="AT38" i="1" s="1"/>
  <c r="AT35" i="1" a="1"/>
  <c r="AT35" i="1" s="1"/>
  <c r="AT39" i="1" a="1"/>
  <c r="AT39" i="1" s="1"/>
  <c r="AT40" i="1" a="1"/>
  <c r="AT40" i="1" s="1"/>
  <c r="AT41" i="1" a="1"/>
  <c r="AT41" i="1" s="1"/>
  <c r="AT42" i="1" a="1"/>
  <c r="AT42" i="1" s="1"/>
  <c r="E16" i="1"/>
  <c r="F16" i="1"/>
  <c r="C16" i="1"/>
  <c r="G61" i="2"/>
  <c r="B16" i="1"/>
  <c r="K8" i="1"/>
  <c r="N12" i="1"/>
  <c r="D61" i="2" l="1"/>
  <c r="D63" i="2"/>
  <c r="D66" i="2"/>
  <c r="N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<sst xmlns="http://schemas.openxmlformats.org/spreadsheetml/2006/main" count="149" uniqueCount="120">
  <si>
    <t>Helper</t>
  </si>
  <si>
    <t>Days in Month</t>
  </si>
  <si>
    <t>Total Possible</t>
  </si>
  <si>
    <t>Month</t>
  </si>
  <si>
    <t>July</t>
  </si>
  <si>
    <t>Year</t>
  </si>
  <si>
    <t>📌 Total Tasks</t>
  </si>
  <si>
    <t>✅ Total Completed</t>
  </si>
  <si>
    <t>⏳ Total Pending</t>
  </si>
  <si>
    <t>🎯 Overall Progress</t>
  </si>
  <si>
    <t>📅 Today Completion</t>
  </si>
  <si>
    <t>🎯 Focus for Today</t>
  </si>
  <si>
    <t>🔥 Current Streak</t>
  </si>
  <si>
    <t>🏆 Longest Streak</t>
  </si>
  <si>
    <t>⭐ Best Day</t>
  </si>
  <si>
    <t>🌧 Weak Day</t>
  </si>
  <si>
    <t>⚠️ Missed / Gap</t>
  </si>
  <si>
    <t>Avg Done/Day</t>
  </si>
  <si>
    <t>Consistency</t>
  </si>
  <si>
    <t>Most Consistent</t>
  </si>
  <si>
    <t>Not Started</t>
  </si>
  <si>
    <t>Fully Done</t>
  </si>
  <si>
    <t>Task Name</t>
  </si>
  <si>
    <t>Priority</t>
  </si>
  <si>
    <t>Category</t>
  </si>
  <si>
    <t>Frequency</t>
  </si>
  <si>
    <t>Target</t>
  </si>
  <si>
    <t>Notes</t>
  </si>
  <si>
    <t>Actual Done</t>
  </si>
  <si>
    <t>Gap</t>
  </si>
  <si>
    <t>Completion %</t>
  </si>
  <si>
    <t>Current Streak</t>
  </si>
  <si>
    <t>Longest Streak</t>
  </si>
  <si>
    <t>Score</t>
  </si>
  <si>
    <t>Exercise</t>
  </si>
  <si>
    <t>High</t>
  </si>
  <si>
    <t>Health</t>
  </si>
  <si>
    <t>Daily</t>
  </si>
  <si>
    <t>Morning walk or workout</t>
  </si>
  <si>
    <t>Study</t>
  </si>
  <si>
    <t>Interview practice</t>
  </si>
  <si>
    <t>Read Book</t>
  </si>
  <si>
    <t>Medium</t>
  </si>
  <si>
    <t>Habit</t>
  </si>
  <si>
    <t>15 pages</t>
  </si>
  <si>
    <t>Finance</t>
  </si>
  <si>
    <t>Weekly</t>
  </si>
  <si>
    <t>⭐ Top 3 Priorities</t>
  </si>
  <si>
    <t>Call Family</t>
  </si>
  <si>
    <t>Low</t>
  </si>
  <si>
    <t>Personal</t>
  </si>
  <si>
    <t>Stay connected</t>
  </si>
  <si>
    <t>⚠️ Tasks Falling Behind</t>
  </si>
  <si>
    <t>🌟 What went well?</t>
  </si>
  <si>
    <t>🛠 What needs improvement?</t>
  </si>
  <si>
    <t>🚀 Focus for next month</t>
  </si>
  <si>
    <t>Week</t>
  </si>
  <si>
    <t>Completed</t>
  </si>
  <si>
    <t>Possible</t>
  </si>
  <si>
    <t>Progress %</t>
  </si>
  <si>
    <t>Status</t>
  </si>
  <si>
    <t>Count</t>
  </si>
  <si>
    <t>Week 1</t>
  </si>
  <si>
    <t>Week 2</t>
  </si>
  <si>
    <t>Pending</t>
  </si>
  <si>
    <t>Week 3</t>
  </si>
  <si>
    <t>Week 4</t>
  </si>
  <si>
    <t>Week 5</t>
  </si>
  <si>
    <t>Week 6</t>
  </si>
  <si>
    <t>Month_No</t>
  </si>
  <si>
    <t>Quotes</t>
  </si>
  <si>
    <t>January</t>
  </si>
  <si>
    <t>TRUE</t>
  </si>
  <si>
    <t>Small steps every day.</t>
  </si>
  <si>
    <t>February</t>
  </si>
  <si>
    <t>FALSE</t>
  </si>
  <si>
    <t>Progress, not perfection.</t>
  </si>
  <si>
    <t>March</t>
  </si>
  <si>
    <t>Work</t>
  </si>
  <si>
    <t>Custom</t>
  </si>
  <si>
    <t>Your future self is watching.</t>
  </si>
  <si>
    <t>April</t>
  </si>
  <si>
    <t>Consistency beats intensity.</t>
  </si>
  <si>
    <t>May</t>
  </si>
  <si>
    <t>Win the day, one checkbox at a time.</t>
  </si>
  <si>
    <t>June</t>
  </si>
  <si>
    <t>Make today count.</t>
  </si>
  <si>
    <t>Other</t>
  </si>
  <si>
    <t>Focus on the next right action.</t>
  </si>
  <si>
    <t>August</t>
  </si>
  <si>
    <t>September</t>
  </si>
  <si>
    <t>October</t>
  </si>
  <si>
    <t>November</t>
  </si>
  <si>
    <t>December</t>
  </si>
  <si>
    <t>Setting</t>
  </si>
  <si>
    <t>Value</t>
  </si>
  <si>
    <t>Card Color</t>
  </si>
  <si>
    <t>#FFFFFF</t>
  </si>
  <si>
    <t>Completed Color</t>
  </si>
  <si>
    <t>#D8F3DC</t>
  </si>
  <si>
    <t>Missed Color</t>
  </si>
  <si>
    <t>#FFD6D6</t>
  </si>
  <si>
    <t>Future Color</t>
  </si>
  <si>
    <t>#F2F2F2</t>
  </si>
  <si>
    <t>Weekend Color</t>
  </si>
  <si>
    <t>#BDE0FE</t>
  </si>
  <si>
    <t>Today Color</t>
  </si>
  <si>
    <t>#FFF2B8</t>
  </si>
  <si>
    <t>Accent Lavender</t>
  </si>
  <si>
    <t>#CDB4DB</t>
  </si>
  <si>
    <t>Accent Peach</t>
  </si>
  <si>
    <t>#FFD6A5</t>
  </si>
  <si>
    <t>Accent Pink</t>
  </si>
  <si>
    <t>#FFC8DD</t>
  </si>
  <si>
    <t>Accent Mint</t>
  </si>
  <si>
    <t>Accent Sky</t>
  </si>
  <si>
    <t>Font</t>
  </si>
  <si>
    <t>Aptos / Segoe UI / Calibri</t>
  </si>
  <si>
    <t>🌱 Mochu's Monthly Productivity Dashboard</t>
  </si>
  <si>
    <t>Select Month and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</si>
</sst>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3">
    <font>
      <sz val="11"/>
      <name val="Carlito"/>
    </font>
    <font>
      <b/>
      <sz val="11"/>
      <color rgb="FF3F3F46"/>
      <name val="Carlito"/>
    </font>
    <font>
      <sz val="11"/>
      <color rgb="FF3F3F46"/>
      <name val="Aptos"/>
      <family val="2"/>
    </font>
    <font>
      <b/>
      <sz val="22"/>
      <color rgb="FF3F3F46"/>
      <name val="Aptos"/>
      <family val="2"/>
    </font>
    <font>
      <b/>
      <sz val="11"/>
      <color rgb="FF3F3F46"/>
      <name val="Aptos"/>
      <family val="2"/>
    </font>
    <font>
      <sz val="11"/>
      <color rgb="FFFFF8F0"/>
      <name val="Aptos"/>
      <family val="2"/>
    </font>
    <font>
      <sz val="11"/>
      <color rgb="FFFFF8F0"/>
      <name val="Carlito"/>
    </font>
    <font>
      <b/>
      <sz val="10"/>
      <color rgb="FF71717A"/>
      <name val="Aptos"/>
      <family val="2"/>
    </font>
    <font>
      <b/>
      <sz val="16"/>
      <color rgb="FF3F3F46"/>
      <name val="Aptos"/>
      <family val="2"/>
    </font>
    <font>
      <sz val="11"/>
      <color rgb="FFFFFFFF"/>
      <name val="Aptos"/>
      <family val="2"/>
    </font>
    <font>
      <b/>
      <sz val="14"/>
      <color theme="0"/>
      <name val="Aptos"/>
      <family val="2"/>
    </font>
    <font>
      <b/>
      <sz val="16"/>
      <color theme="1"/>
      <name val="Aptos"/>
      <family val="2"/>
    </font>
    <font>
      <i/>
      <sz val="16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CDB4DB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BDE0FE"/>
      </patternFill>
    </fill>
    <fill>
      <patternFill patternType="solid">
        <fgColor rgb="FFFFD6A5"/>
      </patternFill>
    </fill>
    <fill>
      <patternFill patternType="solid">
        <fgColor rgb="FFD8F3DC"/>
      </patternFill>
    </fill>
    <fill>
      <patternFill patternType="solid">
        <fgColor rgb="FFFFF2B8"/>
      </patternFill>
    </fill>
    <fill>
      <patternFill patternType="solid">
        <fgColor rgb="FFFFD6D6"/>
      </patternFill>
    </fill>
    <fill>
      <patternFill patternType="solid">
        <fgColor rgb="FFFFF8F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5" fillId="3" borderId="0" xfId="0" applyFont="1" applyFill="1"/>
    <xf numFmtId="0" fontId="6" fillId="3" borderId="0" xfId="0" applyFont="1" applyFill="1"/>
    <xf numFmtId="0" fontId="2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5" fillId="4" borderId="0" xfId="0" applyFont="1" applyFill="1"/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9" fontId="0" fillId="0" borderId="0" xfId="0" applyNumberFormat="1"/>
    <xf numFmtId="0" fontId="1" fillId="7" borderId="0" xfId="0" applyFont="1" applyFill="1"/>
    <xf numFmtId="0" fontId="2" fillId="3" borderId="0" xfId="0" applyFont="1" applyFill="1" applyAlignment="1">
      <alignment wrapText="1"/>
    </xf>
    <xf numFmtId="164" fontId="9" fillId="4" borderId="0" xfId="0" applyNumberFormat="1" applyFont="1" applyFill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0" fillId="0" borderId="0" xfId="0" applyNumberFormat="1"/>
    <xf numFmtId="0" fontId="2" fillId="10" borderId="0" xfId="0" applyFont="1" applyFill="1" applyAlignment="1">
      <alignment wrapText="1"/>
    </xf>
    <xf numFmtId="2" fontId="4" fillId="4" borderId="0" xfId="0" applyNumberFormat="1" applyFont="1" applyFill="1" applyAlignment="1">
      <alignment horizontal="center" vertical="center"/>
    </xf>
    <xf numFmtId="9" fontId="4" fillId="4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1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/>
    </xf>
    <xf numFmtId="9" fontId="8" fillId="4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FFD6D6"/>
      </font>
      <fill>
        <patternFill patternType="solid">
          <bgColor rgb="FFFFD6D6"/>
        </patternFill>
      </fill>
    </dxf>
    <dxf>
      <font>
        <color rgb="FFD8F3DC"/>
      </font>
      <fill>
        <patternFill patternType="solid">
          <bgColor rgb="FFD8F3DC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FFF2B8"/>
        </patternFill>
      </fill>
    </dxf>
    <dxf>
      <font>
        <color rgb="FFF2F2F2"/>
      </font>
      <fill>
        <patternFill patternType="solid">
          <bgColor rgb="FFF2F2F2"/>
        </patternFill>
      </fill>
    </dxf>
    <dxf>
      <font>
        <color rgb="FFFFD6D6"/>
      </font>
      <fill>
        <patternFill patternType="solid">
          <bgColor rgb="FFFFD6D6"/>
        </patternFill>
      </fill>
    </dxf>
    <dxf>
      <font>
        <color rgb="FFD8F3DC"/>
      </font>
      <fill>
        <patternFill patternType="solid">
          <bgColor rgb="FFD8F3DC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FFF2B8"/>
        </patternFill>
      </fill>
    </dxf>
    <dxf>
      <font>
        <color rgb="FFF2F2F2"/>
      </font>
      <fill>
        <patternFill patternType="solid">
          <bgColor rgb="FFF2F2F2"/>
        </patternFill>
      </fill>
    </dxf>
  </dxfs>
  <tableStyles count="0" defaultTableStyle="TableStyleMedium2" defaultPivotStyle="PivotStyleLight16"/>
  <colors>
    <mruColors>
      <color rgb="FFFFF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b2f95a591d54414f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/>
              <a:t>📅 Daily Completion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numRef>
              <c:f>Task_Data!$CA$1:$DE$1</c:f>
              <c:numCache>
                <c:formatCode>m/d/yyyy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Task_Data!$CA$2:$DE$2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9-4382-9057-8850B449E620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none"/>
          </c:marker>
          <c:cat>
            <c:numRef>
              <c:f>Task_Data!$CA$1:$DE$1</c:f>
              <c:numCache>
                <c:formatCode>m/d/yyyy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Task_Data!$CA$3:$DE$3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49-4382-9057-8850B449E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/d/yyyy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solidFill>
          <a:srgbClr val="FFF8F0"/>
        </a:solidFill>
      </c:spPr>
    </c:plotArea>
    <c:plotVisOnly val="1"/>
    <c:dispBlanksAs val="zero"/>
    <c:showDLblsOverMax val="1"/>
  </c:chart>
  <c:spPr>
    <a:solidFill>
      <a:srgbClr val="FFF8F0"/>
    </a:solidFill>
    <a:ln w="9525">
      <a:solidFill>
        <a:schemeClr val="tx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/>
              <a:t>✅ Completed vs Pending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Task_Data!$F$61:$F$62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Task_Data!$G$61:$G$62</c:f>
              <c:numCache>
                <c:formatCode>General</c:formatCode>
                <c:ptCount val="2"/>
                <c:pt idx="0">
                  <c:v>5</c:v>
                </c:pt>
                <c:pt idx="1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7-43C9-91B0-ACA57E445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r"/>
      <c:layout>
        <c:manualLayout>
          <c:xMode val="edge"/>
          <c:yMode val="edge"/>
          <c:x val="0.70532299380134567"/>
          <c:y val="0.42731617834535357"/>
          <c:w val="0.13496014486324492"/>
          <c:h val="0.22645276946196352"/>
        </c:manualLayout>
      </c:layout>
      <c:overlay val="0"/>
    </c:legend>
    <c:plotVisOnly val="1"/>
    <c:dispBlanksAs val="zero"/>
    <c:showDLblsOverMax val="1"/>
  </c:chart>
  <c:spPr>
    <a:solidFill>
      <a:srgbClr val="FFF8F0"/>
    </a:solidFill>
    <a:ln w="9525">
      <a:solidFill>
        <a:schemeClr val="tx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IN"/>
              <a:t>📊 Weekly Progress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Completed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Task_Data!$A$61:$A$66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Task_Data!$B$61:$B$66</c:f>
              <c:numCache>
                <c:formatCode>General</c:formatCode>
                <c:ptCount val="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2-4F74-A72F-F379612CD5C8}"/>
            </c:ext>
          </c:extLst>
        </c:ser>
        <c:ser>
          <c:idx val="1"/>
          <c:order val="1"/>
          <c:tx>
            <c:v>Possible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Task_Data!$A$61:$A$66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Task_Data!$C$61:$C$66</c:f>
              <c:numCache>
                <c:formatCode>General</c:formatCode>
                <c:ptCount val="6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2-4F74-A72F-F379612C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0"/>
        <c:ser>
          <c:idx val="2"/>
          <c:order val="2"/>
          <c:tx>
            <c:v>Progress %</c:v>
          </c:tx>
          <c:marker>
            <c:symbol val="none"/>
          </c:marker>
          <c:cat>
            <c:strRef>
              <c:f>Task_Data!$A$61:$A$66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Task_Data!$D$61:$D$66</c:f>
              <c:numCache>
                <c:formatCode>0%</c:formatCode>
                <c:ptCount val="6"/>
                <c:pt idx="0">
                  <c:v>0.17857142857142858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62-4F74-A72F-F379612C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379183"/>
        <c:axId val="94783108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valAx>
        <c:axId val="947831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510379183"/>
        <c:crosses val="max"/>
        <c:crossBetween val="between"/>
      </c:valAx>
      <c:catAx>
        <c:axId val="1510379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7831088"/>
        <c:crosses val="autoZero"/>
        <c:auto val="1"/>
        <c:lblAlgn val="ctr"/>
        <c:lblOffset val="100"/>
        <c:noMultiLvlLbl val="0"/>
      </c:catAx>
      <c:spPr>
        <a:solidFill>
          <a:srgbClr val="FFF8F0"/>
        </a:solidFill>
      </c:spPr>
    </c:plotArea>
    <c:legend>
      <c:legendPos val="b"/>
      <c:overlay val="0"/>
    </c:legend>
    <c:plotVisOnly val="1"/>
    <c:dispBlanksAs val="zero"/>
    <c:showDLblsOverMax val="1"/>
  </c:chart>
  <c:spPr>
    <a:solidFill>
      <a:srgbClr val="FFF8F0"/>
    </a:solidFill>
    <a:ln w="9525">
      <a:solidFill>
        <a:schemeClr val="tx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fmlaLink="Task_Data!$H$2" lockText="1" noThreeD="1"/>
</file>

<file path=xl/ctrlProps/ctrlProp2.xml><?xml version="1.0" encoding="utf-8"?>
<formControlPr xmlns="http://schemas.microsoft.com/office/spreadsheetml/2009/9/main" objectType="CheckBox" fmlaLink="Task_Data!$I$2" lockText="1" noThreeD="1"/>
</file>

<file path=xl/ctrlProps/ctrlProp3.xml><?xml version="1.0" encoding="utf-8"?>
<formControlPr xmlns="http://schemas.microsoft.com/office/spreadsheetml/2009/9/main" objectType="CheckBox" checked="Checked" fmlaLink="Task_Data!$K$2" lockText="1" noThreeD="1"/>
</file>

<file path=xl/ctrlProps/ctrlProp4.xml><?xml version="1.0" encoding="utf-8"?>
<formControlPr xmlns="http://schemas.microsoft.com/office/spreadsheetml/2009/9/main" objectType="CheckBox" fmlaLink="Task_Data!$L$2" lockText="1" noThreeD="1"/>
</file>

<file path=xl/ctrlProps/ctrlProp5.xml><?xml version="1.0" encoding="utf-8"?>
<formControlPr xmlns="http://schemas.microsoft.com/office/spreadsheetml/2009/9/main" objectType="CheckBox" fmlaLink="Task_Data!$M$2" lockText="1" noThreeD="1"/>
</file>

<file path=xl/ctrlProps/ctrlProp6.xml><?xml version="1.0" encoding="utf-8"?>
<formControlPr xmlns="http://schemas.microsoft.com/office/spreadsheetml/2009/9/main" objectType="CheckBox" fmlaLink="Task_Data!$N$2" lockText="1" noThreeD="1"/>
</file>

<file path=xl/ctrlProps/ctrlProp7.xml><?xml version="1.0" encoding="utf-8"?>
<formControlPr xmlns="http://schemas.microsoft.com/office/spreadsheetml/2009/9/main" objectType="CheckBox" fmlaLink="Task_Data!$O$2" lockText="1" noThreeD="1"/>
</file>

<file path=xl/ctrlProps/ctrlProp8.xml><?xml version="1.0" encoding="utf-8"?>
<formControlPr xmlns="http://schemas.microsoft.com/office/spreadsheetml/2009/9/main" objectType="CheckBox" fmlaLink="Task_Data!$P$2" lockText="1" noThreeD="1"/>
</file>

<file path=xl/ctrlProps/ctrlProp9.xml><?xml version="1.0" encoding="utf-8"?>
<formControlPr xmlns="http://schemas.microsoft.com/office/spreadsheetml/2009/9/main" objectType="CheckBox" fmlaLink="Task_Data!$Q$2" lockText="1" noThreeD="1"/>
</file>

<file path=xl/ctrlProps/ctrlProp10.xml><?xml version="1.0" encoding="utf-8"?>
<formControlPr xmlns="http://schemas.microsoft.com/office/spreadsheetml/2009/9/main" objectType="CheckBox" fmlaLink="Task_Data!$R$2" lockText="1" noThreeD="1"/>
</file>

<file path=xl/ctrlProps/ctrlProp11.xml><?xml version="1.0" encoding="utf-8"?>
<formControlPr xmlns="http://schemas.microsoft.com/office/spreadsheetml/2009/9/main" objectType="CheckBox" fmlaLink="Task_Data!$S$2" lockText="1" noThreeD="1"/>
</file>

<file path=xl/ctrlProps/ctrlProp12.xml><?xml version="1.0" encoding="utf-8"?>
<formControlPr xmlns="http://schemas.microsoft.com/office/spreadsheetml/2009/9/main" objectType="CheckBox" fmlaLink="Task_Data!$T$2" lockText="1" noThreeD="1"/>
</file>

<file path=xl/ctrlProps/ctrlProp13.xml><?xml version="1.0" encoding="utf-8"?>
<formControlPr xmlns="http://schemas.microsoft.com/office/spreadsheetml/2009/9/main" objectType="CheckBox" fmlaLink="Task_Data!$U$2" lockText="1" noThreeD="1"/>
</file>

<file path=xl/ctrlProps/ctrlProp14.xml><?xml version="1.0" encoding="utf-8"?>
<formControlPr xmlns="http://schemas.microsoft.com/office/spreadsheetml/2009/9/main" objectType="CheckBox" fmlaLink="Task_Data!$V$2" lockText="1" noThreeD="1"/>
</file>

<file path=xl/ctrlProps/ctrlProp15.xml><?xml version="1.0" encoding="utf-8"?>
<formControlPr xmlns="http://schemas.microsoft.com/office/spreadsheetml/2009/9/main" objectType="CheckBox" fmlaLink="Task_Data!$W$2" lockText="1" noThreeD="1"/>
</file>

<file path=xl/ctrlProps/ctrlProp16.xml><?xml version="1.0" encoding="utf-8"?>
<formControlPr xmlns="http://schemas.microsoft.com/office/spreadsheetml/2009/9/main" objectType="CheckBox" fmlaLink="Task_Data!$X$2" lockText="1" noThreeD="1"/>
</file>

<file path=xl/ctrlProps/ctrlProp17.xml><?xml version="1.0" encoding="utf-8"?>
<formControlPr xmlns="http://schemas.microsoft.com/office/spreadsheetml/2009/9/main" objectType="CheckBox" fmlaLink="Task_Data!$Y$2" lockText="1" noThreeD="1"/>
</file>

<file path=xl/ctrlProps/ctrlProp18.xml><?xml version="1.0" encoding="utf-8"?>
<formControlPr xmlns="http://schemas.microsoft.com/office/spreadsheetml/2009/9/main" objectType="CheckBox" fmlaLink="Task_Data!$Z$2" lockText="1" noThreeD="1"/>
</file>

<file path=xl/ctrlProps/ctrlProp19.xml><?xml version="1.0" encoding="utf-8"?>
<formControlPr xmlns="http://schemas.microsoft.com/office/spreadsheetml/2009/9/main" objectType="CheckBox" fmlaLink="Task_Data!$AA$2" lockText="1" noThreeD="1"/>
</file>

<file path=xl/ctrlProps/ctrlProp20.xml><?xml version="1.0" encoding="utf-8"?>
<formControlPr xmlns="http://schemas.microsoft.com/office/spreadsheetml/2009/9/main" objectType="CheckBox" fmlaLink="Task_Data!$AB$2" lockText="1" noThreeD="1"/>
</file>

<file path=xl/ctrlProps/ctrlProp21.xml><?xml version="1.0" encoding="utf-8"?>
<formControlPr xmlns="http://schemas.microsoft.com/office/spreadsheetml/2009/9/main" objectType="CheckBox" fmlaLink="Task_Data!$AC$2" lockText="1" noThreeD="1"/>
</file>

<file path=xl/ctrlProps/ctrlProp22.xml><?xml version="1.0" encoding="utf-8"?>
<formControlPr xmlns="http://schemas.microsoft.com/office/spreadsheetml/2009/9/main" objectType="CheckBox" fmlaLink="Task_Data!$AD$2" lockText="1" noThreeD="1"/>
</file>

<file path=xl/ctrlProps/ctrlProp23.xml><?xml version="1.0" encoding="utf-8"?>
<formControlPr xmlns="http://schemas.microsoft.com/office/spreadsheetml/2009/9/main" objectType="CheckBox" fmlaLink="Task_Data!$AE$2" lockText="1" noThreeD="1"/>
</file>

<file path=xl/ctrlProps/ctrlProp24.xml><?xml version="1.0" encoding="utf-8"?>
<formControlPr xmlns="http://schemas.microsoft.com/office/spreadsheetml/2009/9/main" objectType="CheckBox" fmlaLink="Task_Data!$AF$2" lockText="1" noThreeD="1"/>
</file>

<file path=xl/ctrlProps/ctrlProp25.xml><?xml version="1.0" encoding="utf-8"?>
<formControlPr xmlns="http://schemas.microsoft.com/office/spreadsheetml/2009/9/main" objectType="CheckBox" fmlaLink="Task_Data!$AG$2" lockText="1" noThreeD="1"/>
</file>

<file path=xl/ctrlProps/ctrlProp26.xml><?xml version="1.0" encoding="utf-8"?>
<formControlPr xmlns="http://schemas.microsoft.com/office/spreadsheetml/2009/9/main" objectType="CheckBox" fmlaLink="Task_Data!$AH$2" lockText="1" noThreeD="1"/>
</file>

<file path=xl/ctrlProps/ctrlProp27.xml><?xml version="1.0" encoding="utf-8"?>
<formControlPr xmlns="http://schemas.microsoft.com/office/spreadsheetml/2009/9/main" objectType="CheckBox" fmlaLink="Task_Data!$AI$2" lockText="1" noThreeD="1"/>
</file>

<file path=xl/ctrlProps/ctrlProp28.xml><?xml version="1.0" encoding="utf-8"?>
<formControlPr xmlns="http://schemas.microsoft.com/office/spreadsheetml/2009/9/main" objectType="CheckBox" fmlaLink="Task_Data!$AJ$2" lockText="1" noThreeD="1"/>
</file>

<file path=xl/ctrlProps/ctrlProp29.xml><?xml version="1.0" encoding="utf-8"?>
<formControlPr xmlns="http://schemas.microsoft.com/office/spreadsheetml/2009/9/main" objectType="CheckBox" fmlaLink="Task_Data!$AK$2" lockText="1" noThreeD="1"/>
</file>

<file path=xl/ctrlProps/ctrlProp30.xml><?xml version="1.0" encoding="utf-8"?>
<formControlPr xmlns="http://schemas.microsoft.com/office/spreadsheetml/2009/9/main" objectType="CheckBox" fmlaLink="Task_Data!$AL$2" lockText="1" noThreeD="1"/>
</file>

<file path=xl/ctrlProps/ctrlProp31.xml><?xml version="1.0" encoding="utf-8"?>
<formControlPr xmlns="http://schemas.microsoft.com/office/spreadsheetml/2009/9/main" objectType="CheckBox" fmlaLink="Task_Data!$H$3" lockText="1" noThreeD="1"/>
</file>

<file path=xl/ctrlProps/ctrlProp32.xml><?xml version="1.0" encoding="utf-8"?>
<formControlPr xmlns="http://schemas.microsoft.com/office/spreadsheetml/2009/9/main" objectType="CheckBox" fmlaLink="Task_Data!$I$3" lockText="1" noThreeD="1"/>
</file>

<file path=xl/ctrlProps/ctrlProp33.xml><?xml version="1.0" encoding="utf-8"?>
<formControlPr xmlns="http://schemas.microsoft.com/office/spreadsheetml/2009/9/main" objectType="CheckBox" fmlaLink="Task_Data!$J$3" lockText="1" noThreeD="1"/>
</file>

<file path=xl/ctrlProps/ctrlProp34.xml><?xml version="1.0" encoding="utf-8"?>
<formControlPr xmlns="http://schemas.microsoft.com/office/spreadsheetml/2009/9/main" objectType="CheckBox" checked="Checked" fmlaLink="Task_Data!$K$3" lockText="1" noThreeD="1"/>
</file>

<file path=xl/ctrlProps/ctrlProp35.xml><?xml version="1.0" encoding="utf-8"?>
<formControlPr xmlns="http://schemas.microsoft.com/office/spreadsheetml/2009/9/main" objectType="CheckBox" checked="Checked" fmlaLink="Task_Data!$L$3" lockText="1" noThreeD="1"/>
</file>

<file path=xl/ctrlProps/ctrlProp36.xml><?xml version="1.0" encoding="utf-8"?>
<formControlPr xmlns="http://schemas.microsoft.com/office/spreadsheetml/2009/9/main" objectType="CheckBox" fmlaLink="Task_Data!$M$3" lockText="1" noThreeD="1"/>
</file>

<file path=xl/ctrlProps/ctrlProp37.xml><?xml version="1.0" encoding="utf-8"?>
<formControlPr xmlns="http://schemas.microsoft.com/office/spreadsheetml/2009/9/main" objectType="CheckBox" fmlaLink="Task_Data!$N$3" lockText="1" noThreeD="1"/>
</file>

<file path=xl/ctrlProps/ctrlProp38.xml><?xml version="1.0" encoding="utf-8"?>
<formControlPr xmlns="http://schemas.microsoft.com/office/spreadsheetml/2009/9/main" objectType="CheckBox" fmlaLink="Task_Data!$O$3" lockText="1" noThreeD="1"/>
</file>

<file path=xl/ctrlProps/ctrlProp39.xml><?xml version="1.0" encoding="utf-8"?>
<formControlPr xmlns="http://schemas.microsoft.com/office/spreadsheetml/2009/9/main" objectType="CheckBox" fmlaLink="Task_Data!$P$3" lockText="1" noThreeD="1"/>
</file>

<file path=xl/ctrlProps/ctrlProp40.xml><?xml version="1.0" encoding="utf-8"?>
<formControlPr xmlns="http://schemas.microsoft.com/office/spreadsheetml/2009/9/main" objectType="CheckBox" fmlaLink="Task_Data!$Q$3" lockText="1" noThreeD="1"/>
</file>

<file path=xl/ctrlProps/ctrlProp41.xml><?xml version="1.0" encoding="utf-8"?>
<formControlPr xmlns="http://schemas.microsoft.com/office/spreadsheetml/2009/9/main" objectType="CheckBox" fmlaLink="Task_Data!$R$3" lockText="1" noThreeD="1"/>
</file>

<file path=xl/ctrlProps/ctrlProp42.xml><?xml version="1.0" encoding="utf-8"?>
<formControlPr xmlns="http://schemas.microsoft.com/office/spreadsheetml/2009/9/main" objectType="CheckBox" fmlaLink="Task_Data!$S$3" lockText="1" noThreeD="1"/>
</file>

<file path=xl/ctrlProps/ctrlProp43.xml><?xml version="1.0" encoding="utf-8"?>
<formControlPr xmlns="http://schemas.microsoft.com/office/spreadsheetml/2009/9/main" objectType="CheckBox" fmlaLink="Task_Data!$T$3" lockText="1" noThreeD="1"/>
</file>

<file path=xl/ctrlProps/ctrlProp44.xml><?xml version="1.0" encoding="utf-8"?>
<formControlPr xmlns="http://schemas.microsoft.com/office/spreadsheetml/2009/9/main" objectType="CheckBox" fmlaLink="Task_Data!$U$3" lockText="1" noThreeD="1"/>
</file>

<file path=xl/ctrlProps/ctrlProp45.xml><?xml version="1.0" encoding="utf-8"?>
<formControlPr xmlns="http://schemas.microsoft.com/office/spreadsheetml/2009/9/main" objectType="CheckBox" fmlaLink="Task_Data!$V$3" lockText="1" noThreeD="1"/>
</file>

<file path=xl/ctrlProps/ctrlProp46.xml><?xml version="1.0" encoding="utf-8"?>
<formControlPr xmlns="http://schemas.microsoft.com/office/spreadsheetml/2009/9/main" objectType="CheckBox" fmlaLink="Task_Data!$W$3" lockText="1" noThreeD="1"/>
</file>

<file path=xl/ctrlProps/ctrlProp47.xml><?xml version="1.0" encoding="utf-8"?>
<formControlPr xmlns="http://schemas.microsoft.com/office/spreadsheetml/2009/9/main" objectType="CheckBox" fmlaLink="Task_Data!$X$3" lockText="1" noThreeD="1"/>
</file>

<file path=xl/ctrlProps/ctrlProp48.xml><?xml version="1.0" encoding="utf-8"?>
<formControlPr xmlns="http://schemas.microsoft.com/office/spreadsheetml/2009/9/main" objectType="CheckBox" fmlaLink="Task_Data!$Y$3" lockText="1" noThreeD="1"/>
</file>

<file path=xl/ctrlProps/ctrlProp49.xml><?xml version="1.0" encoding="utf-8"?>
<formControlPr xmlns="http://schemas.microsoft.com/office/spreadsheetml/2009/9/main" objectType="CheckBox" fmlaLink="Task_Data!$Z$3" lockText="1" noThreeD="1"/>
</file>

<file path=xl/ctrlProps/ctrlProp50.xml><?xml version="1.0" encoding="utf-8"?>
<formControlPr xmlns="http://schemas.microsoft.com/office/spreadsheetml/2009/9/main" objectType="CheckBox" fmlaLink="Task_Data!$AA$3" lockText="1" noThreeD="1"/>
</file>

<file path=xl/ctrlProps/ctrlProp51.xml><?xml version="1.0" encoding="utf-8"?>
<formControlPr xmlns="http://schemas.microsoft.com/office/spreadsheetml/2009/9/main" objectType="CheckBox" fmlaLink="Task_Data!$AB$3" lockText="1" noThreeD="1"/>
</file>

<file path=xl/ctrlProps/ctrlProp52.xml><?xml version="1.0" encoding="utf-8"?>
<formControlPr xmlns="http://schemas.microsoft.com/office/spreadsheetml/2009/9/main" objectType="CheckBox" fmlaLink="Task_Data!$AC$3" lockText="1" noThreeD="1"/>
</file>

<file path=xl/ctrlProps/ctrlProp53.xml><?xml version="1.0" encoding="utf-8"?>
<formControlPr xmlns="http://schemas.microsoft.com/office/spreadsheetml/2009/9/main" objectType="CheckBox" fmlaLink="Task_Data!$AD$3" lockText="1" noThreeD="1"/>
</file>

<file path=xl/ctrlProps/ctrlProp54.xml><?xml version="1.0" encoding="utf-8"?>
<formControlPr xmlns="http://schemas.microsoft.com/office/spreadsheetml/2009/9/main" objectType="CheckBox" fmlaLink="Task_Data!$AE$3" lockText="1" noThreeD="1"/>
</file>

<file path=xl/ctrlProps/ctrlProp55.xml><?xml version="1.0" encoding="utf-8"?>
<formControlPr xmlns="http://schemas.microsoft.com/office/spreadsheetml/2009/9/main" objectType="CheckBox" fmlaLink="Task_Data!$AF$3" lockText="1" noThreeD="1"/>
</file>

<file path=xl/ctrlProps/ctrlProp56.xml><?xml version="1.0" encoding="utf-8"?>
<formControlPr xmlns="http://schemas.microsoft.com/office/spreadsheetml/2009/9/main" objectType="CheckBox" fmlaLink="Task_Data!$AG$3" lockText="1" noThreeD="1"/>
</file>

<file path=xl/ctrlProps/ctrlProp57.xml><?xml version="1.0" encoding="utf-8"?>
<formControlPr xmlns="http://schemas.microsoft.com/office/spreadsheetml/2009/9/main" objectType="CheckBox" fmlaLink="Task_Data!$AH$3" lockText="1" noThreeD="1"/>
</file>

<file path=xl/ctrlProps/ctrlProp58.xml><?xml version="1.0" encoding="utf-8"?>
<formControlPr xmlns="http://schemas.microsoft.com/office/spreadsheetml/2009/9/main" objectType="CheckBox" fmlaLink="Task_Data!$AI$3" lockText="1" noThreeD="1"/>
</file>

<file path=xl/ctrlProps/ctrlProp59.xml><?xml version="1.0" encoding="utf-8"?>
<formControlPr xmlns="http://schemas.microsoft.com/office/spreadsheetml/2009/9/main" objectType="CheckBox" fmlaLink="Task_Data!$AJ$3" lockText="1" noThreeD="1"/>
</file>

<file path=xl/ctrlProps/ctrlProp60.xml><?xml version="1.0" encoding="utf-8"?>
<formControlPr xmlns="http://schemas.microsoft.com/office/spreadsheetml/2009/9/main" objectType="CheckBox" fmlaLink="Task_Data!$AK$3" lockText="1" noThreeD="1"/>
</file>

<file path=xl/ctrlProps/ctrlProp61.xml><?xml version="1.0" encoding="utf-8"?>
<formControlPr xmlns="http://schemas.microsoft.com/office/spreadsheetml/2009/9/main" objectType="CheckBox" fmlaLink="Task_Data!$AL$3" lockText="1" noThreeD="1"/>
</file>

<file path=xl/ctrlProps/ctrlProp62.xml><?xml version="1.0" encoding="utf-8"?>
<formControlPr xmlns="http://schemas.microsoft.com/office/spreadsheetml/2009/9/main" objectType="CheckBox" fmlaLink="Task_Data!$H$4" lockText="1" noThreeD="1"/>
</file>

<file path=xl/ctrlProps/ctrlProp63.xml><?xml version="1.0" encoding="utf-8"?>
<formControlPr xmlns="http://schemas.microsoft.com/office/spreadsheetml/2009/9/main" objectType="CheckBox" fmlaLink="Task_Data!$I$4" lockText="1" noThreeD="1"/>
</file>

<file path=xl/ctrlProps/ctrlProp64.xml><?xml version="1.0" encoding="utf-8"?>
<formControlPr xmlns="http://schemas.microsoft.com/office/spreadsheetml/2009/9/main" objectType="CheckBox" fmlaLink="Task_Data!$J$4" lockText="1" noThreeD="1"/>
</file>

<file path=xl/ctrlProps/ctrlProp65.xml><?xml version="1.0" encoding="utf-8"?>
<formControlPr xmlns="http://schemas.microsoft.com/office/spreadsheetml/2009/9/main" objectType="CheckBox" checked="Checked" fmlaLink="Task_Data!$K$4" lockText="1" noThreeD="1"/>
</file>

<file path=xl/ctrlProps/ctrlProp66.xml><?xml version="1.0" encoding="utf-8"?>
<formControlPr xmlns="http://schemas.microsoft.com/office/spreadsheetml/2009/9/main" objectType="CheckBox" fmlaLink="Task_Data!$L$4" lockText="1" noThreeD="1"/>
</file>

<file path=xl/ctrlProps/ctrlProp67.xml><?xml version="1.0" encoding="utf-8"?>
<formControlPr xmlns="http://schemas.microsoft.com/office/spreadsheetml/2009/9/main" objectType="CheckBox" fmlaLink="Task_Data!$M$4" lockText="1" noThreeD="1"/>
</file>

<file path=xl/ctrlProps/ctrlProp68.xml><?xml version="1.0" encoding="utf-8"?>
<formControlPr xmlns="http://schemas.microsoft.com/office/spreadsheetml/2009/9/main" objectType="CheckBox" fmlaLink="Task_Data!$N$4" lockText="1" noThreeD="1"/>
</file>

<file path=xl/ctrlProps/ctrlProp69.xml><?xml version="1.0" encoding="utf-8"?>
<formControlPr xmlns="http://schemas.microsoft.com/office/spreadsheetml/2009/9/main" objectType="CheckBox" fmlaLink="Task_Data!$O$4" lockText="1" noThreeD="1"/>
</file>

<file path=xl/ctrlProps/ctrlProp70.xml><?xml version="1.0" encoding="utf-8"?>
<formControlPr xmlns="http://schemas.microsoft.com/office/spreadsheetml/2009/9/main" objectType="CheckBox" fmlaLink="Task_Data!$P$4" lockText="1" noThreeD="1"/>
</file>

<file path=xl/ctrlProps/ctrlProp71.xml><?xml version="1.0" encoding="utf-8"?>
<formControlPr xmlns="http://schemas.microsoft.com/office/spreadsheetml/2009/9/main" objectType="CheckBox" fmlaLink="Task_Data!$Q$4" lockText="1" noThreeD="1"/>
</file>

<file path=xl/ctrlProps/ctrlProp72.xml><?xml version="1.0" encoding="utf-8"?>
<formControlPr xmlns="http://schemas.microsoft.com/office/spreadsheetml/2009/9/main" objectType="CheckBox" fmlaLink="Task_Data!$R$4" lockText="1" noThreeD="1"/>
</file>

<file path=xl/ctrlProps/ctrlProp73.xml><?xml version="1.0" encoding="utf-8"?>
<formControlPr xmlns="http://schemas.microsoft.com/office/spreadsheetml/2009/9/main" objectType="CheckBox" fmlaLink="Task_Data!$S$4" lockText="1" noThreeD="1"/>
</file>

<file path=xl/ctrlProps/ctrlProp74.xml><?xml version="1.0" encoding="utf-8"?>
<formControlPr xmlns="http://schemas.microsoft.com/office/spreadsheetml/2009/9/main" objectType="CheckBox" fmlaLink="Task_Data!$T$4" lockText="1" noThreeD="1"/>
</file>

<file path=xl/ctrlProps/ctrlProp75.xml><?xml version="1.0" encoding="utf-8"?>
<formControlPr xmlns="http://schemas.microsoft.com/office/spreadsheetml/2009/9/main" objectType="CheckBox" fmlaLink="Task_Data!$U$4" lockText="1" noThreeD="1"/>
</file>

<file path=xl/ctrlProps/ctrlProp76.xml><?xml version="1.0" encoding="utf-8"?>
<formControlPr xmlns="http://schemas.microsoft.com/office/spreadsheetml/2009/9/main" objectType="CheckBox" fmlaLink="Task_Data!$V$4" lockText="1" noThreeD="1"/>
</file>

<file path=xl/ctrlProps/ctrlProp77.xml><?xml version="1.0" encoding="utf-8"?>
<formControlPr xmlns="http://schemas.microsoft.com/office/spreadsheetml/2009/9/main" objectType="CheckBox" fmlaLink="Task_Data!$W$4" lockText="1" noThreeD="1"/>
</file>

<file path=xl/ctrlProps/ctrlProp78.xml><?xml version="1.0" encoding="utf-8"?>
<formControlPr xmlns="http://schemas.microsoft.com/office/spreadsheetml/2009/9/main" objectType="CheckBox" fmlaLink="Task_Data!$X$4" lockText="1" noThreeD="1"/>
</file>

<file path=xl/ctrlProps/ctrlProp79.xml><?xml version="1.0" encoding="utf-8"?>
<formControlPr xmlns="http://schemas.microsoft.com/office/spreadsheetml/2009/9/main" objectType="CheckBox" fmlaLink="Task_Data!$Y$4" lockText="1" noThreeD="1"/>
</file>

<file path=xl/ctrlProps/ctrlProp80.xml><?xml version="1.0" encoding="utf-8"?>
<formControlPr xmlns="http://schemas.microsoft.com/office/spreadsheetml/2009/9/main" objectType="CheckBox" fmlaLink="Task_Data!$Z$4" lockText="1" noThreeD="1"/>
</file>

<file path=xl/ctrlProps/ctrlProp81.xml><?xml version="1.0" encoding="utf-8"?>
<formControlPr xmlns="http://schemas.microsoft.com/office/spreadsheetml/2009/9/main" objectType="CheckBox" fmlaLink="Task_Data!$AA$4" lockText="1" noThreeD="1"/>
</file>

<file path=xl/ctrlProps/ctrlProp82.xml><?xml version="1.0" encoding="utf-8"?>
<formControlPr xmlns="http://schemas.microsoft.com/office/spreadsheetml/2009/9/main" objectType="CheckBox" fmlaLink="Task_Data!$AB$4" lockText="1" noThreeD="1"/>
</file>

<file path=xl/ctrlProps/ctrlProp83.xml><?xml version="1.0" encoding="utf-8"?>
<formControlPr xmlns="http://schemas.microsoft.com/office/spreadsheetml/2009/9/main" objectType="CheckBox" fmlaLink="Task_Data!$AC$4" lockText="1" noThreeD="1"/>
</file>

<file path=xl/ctrlProps/ctrlProp84.xml><?xml version="1.0" encoding="utf-8"?>
<formControlPr xmlns="http://schemas.microsoft.com/office/spreadsheetml/2009/9/main" objectType="CheckBox" fmlaLink="Task_Data!$AD$4" lockText="1" noThreeD="1"/>
</file>

<file path=xl/ctrlProps/ctrlProp85.xml><?xml version="1.0" encoding="utf-8"?>
<formControlPr xmlns="http://schemas.microsoft.com/office/spreadsheetml/2009/9/main" objectType="CheckBox" fmlaLink="Task_Data!$AE$4" lockText="1" noThreeD="1"/>
</file>

<file path=xl/ctrlProps/ctrlProp86.xml><?xml version="1.0" encoding="utf-8"?>
<formControlPr xmlns="http://schemas.microsoft.com/office/spreadsheetml/2009/9/main" objectType="CheckBox" fmlaLink="Task_Data!$AF$4" lockText="1" noThreeD="1"/>
</file>

<file path=xl/ctrlProps/ctrlProp87.xml><?xml version="1.0" encoding="utf-8"?>
<formControlPr xmlns="http://schemas.microsoft.com/office/spreadsheetml/2009/9/main" objectType="CheckBox" fmlaLink="Task_Data!$AG$4" lockText="1" noThreeD="1"/>
</file>

<file path=xl/ctrlProps/ctrlProp88.xml><?xml version="1.0" encoding="utf-8"?>
<formControlPr xmlns="http://schemas.microsoft.com/office/spreadsheetml/2009/9/main" objectType="CheckBox" fmlaLink="Task_Data!$AH$4" lockText="1" noThreeD="1"/>
</file>

<file path=xl/ctrlProps/ctrlProp89.xml><?xml version="1.0" encoding="utf-8"?>
<formControlPr xmlns="http://schemas.microsoft.com/office/spreadsheetml/2009/9/main" objectType="CheckBox" fmlaLink="Task_Data!$AI$4" lockText="1" noThreeD="1"/>
</file>

<file path=xl/ctrlProps/ctrlProp90.xml><?xml version="1.0" encoding="utf-8"?>
<formControlPr xmlns="http://schemas.microsoft.com/office/spreadsheetml/2009/9/main" objectType="CheckBox" fmlaLink="Task_Data!$AJ$4" lockText="1" noThreeD="1"/>
</file>

<file path=xl/ctrlProps/ctrlProp91.xml><?xml version="1.0" encoding="utf-8"?>
<formControlPr xmlns="http://schemas.microsoft.com/office/spreadsheetml/2009/9/main" objectType="CheckBox" fmlaLink="Task_Data!$AK$4" lockText="1" noThreeD="1"/>
</file>

<file path=xl/ctrlProps/ctrlProp92.xml><?xml version="1.0" encoding="utf-8"?>
<formControlPr xmlns="http://schemas.microsoft.com/office/spreadsheetml/2009/9/main" objectType="CheckBox" fmlaLink="Task_Data!$AL$4" lockText="1" noThreeD="1"/>
</file>

<file path=xl/ctrlProps/ctrlProp93.xml><?xml version="1.0" encoding="utf-8"?>
<formControlPr xmlns="http://schemas.microsoft.com/office/spreadsheetml/2009/9/main" objectType="CheckBox" fmlaLink="Task_Data!$H$5" lockText="1" noThreeD="1"/>
</file>

<file path=xl/ctrlProps/ctrlProp94.xml><?xml version="1.0" encoding="utf-8"?>
<formControlPr xmlns="http://schemas.microsoft.com/office/spreadsheetml/2009/9/main" objectType="CheckBox" fmlaLink="Task_Data!$I$5" lockText="1" noThreeD="1"/>
</file>

<file path=xl/ctrlProps/ctrlProp95.xml><?xml version="1.0" encoding="utf-8"?>
<formControlPr xmlns="http://schemas.microsoft.com/office/spreadsheetml/2009/9/main" objectType="CheckBox" fmlaLink="Task_Data!$J$5" lockText="1" noThreeD="1"/>
</file>

<file path=xl/ctrlProps/ctrlProp96.xml><?xml version="1.0" encoding="utf-8"?>
<formControlPr xmlns="http://schemas.microsoft.com/office/spreadsheetml/2009/9/main" objectType="CheckBox" checked="Checked" fmlaLink="Task_Data!$K$5" lockText="1" noThreeD="1"/>
</file>

<file path=xl/ctrlProps/ctrlProp97.xml><?xml version="1.0" encoding="utf-8"?>
<formControlPr xmlns="http://schemas.microsoft.com/office/spreadsheetml/2009/9/main" objectType="CheckBox" fmlaLink="Task_Data!$L$5" lockText="1" noThreeD="1"/>
</file>

<file path=xl/ctrlProps/ctrlProp98.xml><?xml version="1.0" encoding="utf-8"?>
<formControlPr xmlns="http://schemas.microsoft.com/office/spreadsheetml/2009/9/main" objectType="CheckBox" fmlaLink="Task_Data!$M$5" lockText="1" noThreeD="1"/>
</file>

<file path=xl/ctrlProps/ctrlProp99.xml><?xml version="1.0" encoding="utf-8"?>
<formControlPr xmlns="http://schemas.microsoft.com/office/spreadsheetml/2009/9/main" objectType="CheckBox" fmlaLink="Task_Data!$N$5" lockText="1" noThreeD="1"/>
</file>

<file path=xl/ctrlProps/ctrlProp100.xml><?xml version="1.0" encoding="utf-8"?>
<formControlPr xmlns="http://schemas.microsoft.com/office/spreadsheetml/2009/9/main" objectType="CheckBox" fmlaLink="Task_Data!$O$5" lockText="1" noThreeD="1"/>
</file>

<file path=xl/ctrlProps/ctrlProp101.xml><?xml version="1.0" encoding="utf-8"?>
<formControlPr xmlns="http://schemas.microsoft.com/office/spreadsheetml/2009/9/main" objectType="CheckBox" fmlaLink="Task_Data!$P$5" lockText="1" noThreeD="1"/>
</file>

<file path=xl/ctrlProps/ctrlProp102.xml><?xml version="1.0" encoding="utf-8"?>
<formControlPr xmlns="http://schemas.microsoft.com/office/spreadsheetml/2009/9/main" objectType="CheckBox" fmlaLink="Task_Data!$Q$5" lockText="1" noThreeD="1"/>
</file>

<file path=xl/ctrlProps/ctrlProp103.xml><?xml version="1.0" encoding="utf-8"?>
<formControlPr xmlns="http://schemas.microsoft.com/office/spreadsheetml/2009/9/main" objectType="CheckBox" fmlaLink="Task_Data!$R$5" lockText="1" noThreeD="1"/>
</file>

<file path=xl/ctrlProps/ctrlProp104.xml><?xml version="1.0" encoding="utf-8"?>
<formControlPr xmlns="http://schemas.microsoft.com/office/spreadsheetml/2009/9/main" objectType="CheckBox" fmlaLink="Task_Data!$S$5" lockText="1" noThreeD="1"/>
</file>

<file path=xl/ctrlProps/ctrlProp105.xml><?xml version="1.0" encoding="utf-8"?>
<formControlPr xmlns="http://schemas.microsoft.com/office/spreadsheetml/2009/9/main" objectType="CheckBox" fmlaLink="Task_Data!$T$5" lockText="1" noThreeD="1"/>
</file>

<file path=xl/ctrlProps/ctrlProp106.xml><?xml version="1.0" encoding="utf-8"?>
<formControlPr xmlns="http://schemas.microsoft.com/office/spreadsheetml/2009/9/main" objectType="CheckBox" fmlaLink="Task_Data!$U$5" lockText="1" noThreeD="1"/>
</file>

<file path=xl/ctrlProps/ctrlProp107.xml><?xml version="1.0" encoding="utf-8"?>
<formControlPr xmlns="http://schemas.microsoft.com/office/spreadsheetml/2009/9/main" objectType="CheckBox" fmlaLink="Task_Data!$V$5" lockText="1" noThreeD="1"/>
</file>

<file path=xl/ctrlProps/ctrlProp108.xml><?xml version="1.0" encoding="utf-8"?>
<formControlPr xmlns="http://schemas.microsoft.com/office/spreadsheetml/2009/9/main" objectType="CheckBox" fmlaLink="Task_Data!$W$5" lockText="1" noThreeD="1"/>
</file>

<file path=xl/ctrlProps/ctrlProp109.xml><?xml version="1.0" encoding="utf-8"?>
<formControlPr xmlns="http://schemas.microsoft.com/office/spreadsheetml/2009/9/main" objectType="CheckBox" fmlaLink="Task_Data!$X$5" lockText="1" noThreeD="1"/>
</file>

<file path=xl/ctrlProps/ctrlProp110.xml><?xml version="1.0" encoding="utf-8"?>
<formControlPr xmlns="http://schemas.microsoft.com/office/spreadsheetml/2009/9/main" objectType="CheckBox" fmlaLink="Task_Data!$Y$5" lockText="1" noThreeD="1"/>
</file>

<file path=xl/ctrlProps/ctrlProp111.xml><?xml version="1.0" encoding="utf-8"?>
<formControlPr xmlns="http://schemas.microsoft.com/office/spreadsheetml/2009/9/main" objectType="CheckBox" fmlaLink="Task_Data!$Z$5" lockText="1" noThreeD="1"/>
</file>

<file path=xl/ctrlProps/ctrlProp112.xml><?xml version="1.0" encoding="utf-8"?>
<formControlPr xmlns="http://schemas.microsoft.com/office/spreadsheetml/2009/9/main" objectType="CheckBox" fmlaLink="Task_Data!$AA$5" lockText="1" noThreeD="1"/>
</file>

<file path=xl/ctrlProps/ctrlProp113.xml><?xml version="1.0" encoding="utf-8"?>
<formControlPr xmlns="http://schemas.microsoft.com/office/spreadsheetml/2009/9/main" objectType="CheckBox" fmlaLink="Task_Data!$AB$5" lockText="1" noThreeD="1"/>
</file>

<file path=xl/ctrlProps/ctrlProp114.xml><?xml version="1.0" encoding="utf-8"?>
<formControlPr xmlns="http://schemas.microsoft.com/office/spreadsheetml/2009/9/main" objectType="CheckBox" fmlaLink="Task_Data!$AC$5" lockText="1" noThreeD="1"/>
</file>

<file path=xl/ctrlProps/ctrlProp115.xml><?xml version="1.0" encoding="utf-8"?>
<formControlPr xmlns="http://schemas.microsoft.com/office/spreadsheetml/2009/9/main" objectType="CheckBox" fmlaLink="Task_Data!$AD$5" lockText="1" noThreeD="1"/>
</file>

<file path=xl/ctrlProps/ctrlProp116.xml><?xml version="1.0" encoding="utf-8"?>
<formControlPr xmlns="http://schemas.microsoft.com/office/spreadsheetml/2009/9/main" objectType="CheckBox" fmlaLink="Task_Data!$AE$5" lockText="1" noThreeD="1"/>
</file>

<file path=xl/ctrlProps/ctrlProp117.xml><?xml version="1.0" encoding="utf-8"?>
<formControlPr xmlns="http://schemas.microsoft.com/office/spreadsheetml/2009/9/main" objectType="CheckBox" fmlaLink="Task_Data!$AF$5" lockText="1" noThreeD="1"/>
</file>

<file path=xl/ctrlProps/ctrlProp118.xml><?xml version="1.0" encoding="utf-8"?>
<formControlPr xmlns="http://schemas.microsoft.com/office/spreadsheetml/2009/9/main" objectType="CheckBox" fmlaLink="Task_Data!$AG$5" lockText="1" noThreeD="1"/>
</file>

<file path=xl/ctrlProps/ctrlProp119.xml><?xml version="1.0" encoding="utf-8"?>
<formControlPr xmlns="http://schemas.microsoft.com/office/spreadsheetml/2009/9/main" objectType="CheckBox" fmlaLink="Task_Data!$AH$5" lockText="1" noThreeD="1"/>
</file>

<file path=xl/ctrlProps/ctrlProp120.xml><?xml version="1.0" encoding="utf-8"?>
<formControlPr xmlns="http://schemas.microsoft.com/office/spreadsheetml/2009/9/main" objectType="CheckBox" fmlaLink="Task_Data!$AI$5" lockText="1" noThreeD="1"/>
</file>

<file path=xl/ctrlProps/ctrlProp121.xml><?xml version="1.0" encoding="utf-8"?>
<formControlPr xmlns="http://schemas.microsoft.com/office/spreadsheetml/2009/9/main" objectType="CheckBox" fmlaLink="Task_Data!$AJ$5" lockText="1" noThreeD="1"/>
</file>

<file path=xl/ctrlProps/ctrlProp122.xml><?xml version="1.0" encoding="utf-8"?>
<formControlPr xmlns="http://schemas.microsoft.com/office/spreadsheetml/2009/9/main" objectType="CheckBox" fmlaLink="Task_Data!$AK$5" lockText="1" noThreeD="1"/>
</file>

<file path=xl/ctrlProps/ctrlProp123.xml><?xml version="1.0" encoding="utf-8"?>
<formControlPr xmlns="http://schemas.microsoft.com/office/spreadsheetml/2009/9/main" objectType="CheckBox" fmlaLink="Task_Data!$AL$5" lockText="1" noThreeD="1"/>
</file>

<file path=xl/ctrlProps/ctrlProp124.xml><?xml version="1.0" encoding="utf-8"?>
<formControlPr xmlns="http://schemas.microsoft.com/office/spreadsheetml/2009/9/main" objectType="CheckBox" fmlaLink="Task_Data!$H$6" lockText="1" noThreeD="1"/>
</file>

<file path=xl/ctrlProps/ctrlProp125.xml><?xml version="1.0" encoding="utf-8"?>
<formControlPr xmlns="http://schemas.microsoft.com/office/spreadsheetml/2009/9/main" objectType="CheckBox" fmlaLink="Task_Data!$I$6" lockText="1" noThreeD="1"/>
</file>

<file path=xl/ctrlProps/ctrlProp126.xml><?xml version="1.0" encoding="utf-8"?>
<formControlPr xmlns="http://schemas.microsoft.com/office/spreadsheetml/2009/9/main" objectType="CheckBox" fmlaLink="Task_Data!$J$6" lockText="1" noThreeD="1"/>
</file>

<file path=xl/ctrlProps/ctrlProp127.xml><?xml version="1.0" encoding="utf-8"?>
<formControlPr xmlns="http://schemas.microsoft.com/office/spreadsheetml/2009/9/main" objectType="CheckBox" fmlaLink="Task_Data!$K$6" lockText="1" noThreeD="1"/>
</file>

<file path=xl/ctrlProps/ctrlProp128.xml><?xml version="1.0" encoding="utf-8"?>
<formControlPr xmlns="http://schemas.microsoft.com/office/spreadsheetml/2009/9/main" objectType="CheckBox" fmlaLink="Task_Data!$L$6" lockText="1" noThreeD="1"/>
</file>

<file path=xl/ctrlProps/ctrlProp129.xml><?xml version="1.0" encoding="utf-8"?>
<formControlPr xmlns="http://schemas.microsoft.com/office/spreadsheetml/2009/9/main" objectType="CheckBox" fmlaLink="Task_Data!$M$6" lockText="1" noThreeD="1"/>
</file>

<file path=xl/ctrlProps/ctrlProp130.xml><?xml version="1.0" encoding="utf-8"?>
<formControlPr xmlns="http://schemas.microsoft.com/office/spreadsheetml/2009/9/main" objectType="CheckBox" fmlaLink="Task_Data!$N$6" lockText="1" noThreeD="1"/>
</file>

<file path=xl/ctrlProps/ctrlProp131.xml><?xml version="1.0" encoding="utf-8"?>
<formControlPr xmlns="http://schemas.microsoft.com/office/spreadsheetml/2009/9/main" objectType="CheckBox" fmlaLink="Task_Data!$O$6" lockText="1" noThreeD="1"/>
</file>

<file path=xl/ctrlProps/ctrlProp132.xml><?xml version="1.0" encoding="utf-8"?>
<formControlPr xmlns="http://schemas.microsoft.com/office/spreadsheetml/2009/9/main" objectType="CheckBox" fmlaLink="Task_Data!$P$6" lockText="1" noThreeD="1"/>
</file>

<file path=xl/ctrlProps/ctrlProp133.xml><?xml version="1.0" encoding="utf-8"?>
<formControlPr xmlns="http://schemas.microsoft.com/office/spreadsheetml/2009/9/main" objectType="CheckBox" fmlaLink="Task_Data!$Q$6" lockText="1" noThreeD="1"/>
</file>

<file path=xl/ctrlProps/ctrlProp134.xml><?xml version="1.0" encoding="utf-8"?>
<formControlPr xmlns="http://schemas.microsoft.com/office/spreadsheetml/2009/9/main" objectType="CheckBox" fmlaLink="Task_Data!$R$6" lockText="1" noThreeD="1"/>
</file>

<file path=xl/ctrlProps/ctrlProp135.xml><?xml version="1.0" encoding="utf-8"?>
<formControlPr xmlns="http://schemas.microsoft.com/office/spreadsheetml/2009/9/main" objectType="CheckBox" fmlaLink="Task_Data!$S$6" lockText="1" noThreeD="1"/>
</file>

<file path=xl/ctrlProps/ctrlProp136.xml><?xml version="1.0" encoding="utf-8"?>
<formControlPr xmlns="http://schemas.microsoft.com/office/spreadsheetml/2009/9/main" objectType="CheckBox" fmlaLink="Task_Data!$T$6" lockText="1" noThreeD="1"/>
</file>

<file path=xl/ctrlProps/ctrlProp137.xml><?xml version="1.0" encoding="utf-8"?>
<formControlPr xmlns="http://schemas.microsoft.com/office/spreadsheetml/2009/9/main" objectType="CheckBox" fmlaLink="Task_Data!$U$6" lockText="1" noThreeD="1"/>
</file>

<file path=xl/ctrlProps/ctrlProp138.xml><?xml version="1.0" encoding="utf-8"?>
<formControlPr xmlns="http://schemas.microsoft.com/office/spreadsheetml/2009/9/main" objectType="CheckBox" fmlaLink="Task_Data!$V$6" lockText="1" noThreeD="1"/>
</file>

<file path=xl/ctrlProps/ctrlProp139.xml><?xml version="1.0" encoding="utf-8"?>
<formControlPr xmlns="http://schemas.microsoft.com/office/spreadsheetml/2009/9/main" objectType="CheckBox" fmlaLink="Task_Data!$W$6" lockText="1" noThreeD="1"/>
</file>

<file path=xl/ctrlProps/ctrlProp140.xml><?xml version="1.0" encoding="utf-8"?>
<formControlPr xmlns="http://schemas.microsoft.com/office/spreadsheetml/2009/9/main" objectType="CheckBox" fmlaLink="Task_Data!$X$6" lockText="1" noThreeD="1"/>
</file>

<file path=xl/ctrlProps/ctrlProp141.xml><?xml version="1.0" encoding="utf-8"?>
<formControlPr xmlns="http://schemas.microsoft.com/office/spreadsheetml/2009/9/main" objectType="CheckBox" fmlaLink="Task_Data!$Y$6" lockText="1" noThreeD="1"/>
</file>

<file path=xl/ctrlProps/ctrlProp142.xml><?xml version="1.0" encoding="utf-8"?>
<formControlPr xmlns="http://schemas.microsoft.com/office/spreadsheetml/2009/9/main" objectType="CheckBox" fmlaLink="Task_Data!$Z$6" lockText="1" noThreeD="1"/>
</file>

<file path=xl/ctrlProps/ctrlProp143.xml><?xml version="1.0" encoding="utf-8"?>
<formControlPr xmlns="http://schemas.microsoft.com/office/spreadsheetml/2009/9/main" objectType="CheckBox" fmlaLink="Task_Data!$AA$6" lockText="1" noThreeD="1"/>
</file>

<file path=xl/ctrlProps/ctrlProp144.xml><?xml version="1.0" encoding="utf-8"?>
<formControlPr xmlns="http://schemas.microsoft.com/office/spreadsheetml/2009/9/main" objectType="CheckBox" fmlaLink="Task_Data!$AB$6" lockText="1" noThreeD="1"/>
</file>

<file path=xl/ctrlProps/ctrlProp145.xml><?xml version="1.0" encoding="utf-8"?>
<formControlPr xmlns="http://schemas.microsoft.com/office/spreadsheetml/2009/9/main" objectType="CheckBox" fmlaLink="Task_Data!$AC$6" lockText="1" noThreeD="1"/>
</file>

<file path=xl/ctrlProps/ctrlProp146.xml><?xml version="1.0" encoding="utf-8"?>
<formControlPr xmlns="http://schemas.microsoft.com/office/spreadsheetml/2009/9/main" objectType="CheckBox" fmlaLink="Task_Data!$AD$6" lockText="1" noThreeD="1"/>
</file>

<file path=xl/ctrlProps/ctrlProp147.xml><?xml version="1.0" encoding="utf-8"?>
<formControlPr xmlns="http://schemas.microsoft.com/office/spreadsheetml/2009/9/main" objectType="CheckBox" fmlaLink="Task_Data!$AE$6" lockText="1" noThreeD="1"/>
</file>

<file path=xl/ctrlProps/ctrlProp148.xml><?xml version="1.0" encoding="utf-8"?>
<formControlPr xmlns="http://schemas.microsoft.com/office/spreadsheetml/2009/9/main" objectType="CheckBox" fmlaLink="Task_Data!$AF$6" lockText="1" noThreeD="1"/>
</file>

<file path=xl/ctrlProps/ctrlProp149.xml><?xml version="1.0" encoding="utf-8"?>
<formControlPr xmlns="http://schemas.microsoft.com/office/spreadsheetml/2009/9/main" objectType="CheckBox" fmlaLink="Task_Data!$AG$6" lockText="1" noThreeD="1"/>
</file>

<file path=xl/ctrlProps/ctrlProp150.xml><?xml version="1.0" encoding="utf-8"?>
<formControlPr xmlns="http://schemas.microsoft.com/office/spreadsheetml/2009/9/main" objectType="CheckBox" fmlaLink="Task_Data!$AH$6" lockText="1" noThreeD="1"/>
</file>

<file path=xl/ctrlProps/ctrlProp151.xml><?xml version="1.0" encoding="utf-8"?>
<formControlPr xmlns="http://schemas.microsoft.com/office/spreadsheetml/2009/9/main" objectType="CheckBox" fmlaLink="Task_Data!$AI$6" lockText="1" noThreeD="1"/>
</file>

<file path=xl/ctrlProps/ctrlProp152.xml><?xml version="1.0" encoding="utf-8"?>
<formControlPr xmlns="http://schemas.microsoft.com/office/spreadsheetml/2009/9/main" objectType="CheckBox" fmlaLink="Task_Data!$AJ$6" lockText="1" noThreeD="1"/>
</file>

<file path=xl/ctrlProps/ctrlProp153.xml><?xml version="1.0" encoding="utf-8"?>
<formControlPr xmlns="http://schemas.microsoft.com/office/spreadsheetml/2009/9/main" objectType="CheckBox" fmlaLink="Task_Data!$AK$6" lockText="1" noThreeD="1"/>
</file>

<file path=xl/ctrlProps/ctrlProp154.xml><?xml version="1.0" encoding="utf-8"?>
<formControlPr xmlns="http://schemas.microsoft.com/office/spreadsheetml/2009/9/main" objectType="CheckBox" fmlaLink="Task_Data!$AL$6" lockText="1" noThreeD="1"/>
</file>

<file path=xl/ctrlProps/ctrlProp155.xml><?xml version="1.0" encoding="utf-8"?>
<formControlPr xmlns="http://schemas.microsoft.com/office/spreadsheetml/2009/9/main" objectType="CheckBox" fmlaLink="Task_Data!$H$7" lockText="1" noThreeD="1"/>
</file>

<file path=xl/ctrlProps/ctrlProp156.xml><?xml version="1.0" encoding="utf-8"?>
<formControlPr xmlns="http://schemas.microsoft.com/office/spreadsheetml/2009/9/main" objectType="CheckBox" fmlaLink="Task_Data!$I$7" lockText="1" noThreeD="1"/>
</file>

<file path=xl/ctrlProps/ctrlProp157.xml><?xml version="1.0" encoding="utf-8"?>
<formControlPr xmlns="http://schemas.microsoft.com/office/spreadsheetml/2009/9/main" objectType="CheckBox" fmlaLink="Task_Data!$J$7" lockText="1" noThreeD="1"/>
</file>

<file path=xl/ctrlProps/ctrlProp158.xml><?xml version="1.0" encoding="utf-8"?>
<formControlPr xmlns="http://schemas.microsoft.com/office/spreadsheetml/2009/9/main" objectType="CheckBox" fmlaLink="Task_Data!$K$7" lockText="1" noThreeD="1"/>
</file>

<file path=xl/ctrlProps/ctrlProp159.xml><?xml version="1.0" encoding="utf-8"?>
<formControlPr xmlns="http://schemas.microsoft.com/office/spreadsheetml/2009/9/main" objectType="CheckBox" fmlaLink="Task_Data!$L$7" lockText="1" noThreeD="1"/>
</file>

<file path=xl/ctrlProps/ctrlProp160.xml><?xml version="1.0" encoding="utf-8"?>
<formControlPr xmlns="http://schemas.microsoft.com/office/spreadsheetml/2009/9/main" objectType="CheckBox" fmlaLink="Task_Data!$M$7" lockText="1" noThreeD="1"/>
</file>

<file path=xl/ctrlProps/ctrlProp161.xml><?xml version="1.0" encoding="utf-8"?>
<formControlPr xmlns="http://schemas.microsoft.com/office/spreadsheetml/2009/9/main" objectType="CheckBox" fmlaLink="Task_Data!$N$7" lockText="1" noThreeD="1"/>
</file>

<file path=xl/ctrlProps/ctrlProp162.xml><?xml version="1.0" encoding="utf-8"?>
<formControlPr xmlns="http://schemas.microsoft.com/office/spreadsheetml/2009/9/main" objectType="CheckBox" fmlaLink="Task_Data!$O$7" lockText="1" noThreeD="1"/>
</file>

<file path=xl/ctrlProps/ctrlProp163.xml><?xml version="1.0" encoding="utf-8"?>
<formControlPr xmlns="http://schemas.microsoft.com/office/spreadsheetml/2009/9/main" objectType="CheckBox" fmlaLink="Task_Data!$P$7" lockText="1" noThreeD="1"/>
</file>

<file path=xl/ctrlProps/ctrlProp164.xml><?xml version="1.0" encoding="utf-8"?>
<formControlPr xmlns="http://schemas.microsoft.com/office/spreadsheetml/2009/9/main" objectType="CheckBox" fmlaLink="Task_Data!$Q$7" lockText="1" noThreeD="1"/>
</file>

<file path=xl/ctrlProps/ctrlProp165.xml><?xml version="1.0" encoding="utf-8"?>
<formControlPr xmlns="http://schemas.microsoft.com/office/spreadsheetml/2009/9/main" objectType="CheckBox" fmlaLink="Task_Data!$R$7" lockText="1" noThreeD="1"/>
</file>

<file path=xl/ctrlProps/ctrlProp166.xml><?xml version="1.0" encoding="utf-8"?>
<formControlPr xmlns="http://schemas.microsoft.com/office/spreadsheetml/2009/9/main" objectType="CheckBox" fmlaLink="Task_Data!$S$7" lockText="1" noThreeD="1"/>
</file>

<file path=xl/ctrlProps/ctrlProp167.xml><?xml version="1.0" encoding="utf-8"?>
<formControlPr xmlns="http://schemas.microsoft.com/office/spreadsheetml/2009/9/main" objectType="CheckBox" fmlaLink="Task_Data!$T$7" lockText="1" noThreeD="1"/>
</file>

<file path=xl/ctrlProps/ctrlProp168.xml><?xml version="1.0" encoding="utf-8"?>
<formControlPr xmlns="http://schemas.microsoft.com/office/spreadsheetml/2009/9/main" objectType="CheckBox" fmlaLink="Task_Data!$U$7" lockText="1" noThreeD="1"/>
</file>

<file path=xl/ctrlProps/ctrlProp169.xml><?xml version="1.0" encoding="utf-8"?>
<formControlPr xmlns="http://schemas.microsoft.com/office/spreadsheetml/2009/9/main" objectType="CheckBox" fmlaLink="Task_Data!$V$7" lockText="1" noThreeD="1"/>
</file>

<file path=xl/ctrlProps/ctrlProp170.xml><?xml version="1.0" encoding="utf-8"?>
<formControlPr xmlns="http://schemas.microsoft.com/office/spreadsheetml/2009/9/main" objectType="CheckBox" fmlaLink="Task_Data!$W$7" lockText="1" noThreeD="1"/>
</file>

<file path=xl/ctrlProps/ctrlProp171.xml><?xml version="1.0" encoding="utf-8"?>
<formControlPr xmlns="http://schemas.microsoft.com/office/spreadsheetml/2009/9/main" objectType="CheckBox" fmlaLink="Task_Data!$X$7" lockText="1" noThreeD="1"/>
</file>

<file path=xl/ctrlProps/ctrlProp172.xml><?xml version="1.0" encoding="utf-8"?>
<formControlPr xmlns="http://schemas.microsoft.com/office/spreadsheetml/2009/9/main" objectType="CheckBox" fmlaLink="Task_Data!$Y$7" lockText="1" noThreeD="1"/>
</file>

<file path=xl/ctrlProps/ctrlProp173.xml><?xml version="1.0" encoding="utf-8"?>
<formControlPr xmlns="http://schemas.microsoft.com/office/spreadsheetml/2009/9/main" objectType="CheckBox" fmlaLink="Task_Data!$Z$7" lockText="1" noThreeD="1"/>
</file>

<file path=xl/ctrlProps/ctrlProp174.xml><?xml version="1.0" encoding="utf-8"?>
<formControlPr xmlns="http://schemas.microsoft.com/office/spreadsheetml/2009/9/main" objectType="CheckBox" fmlaLink="Task_Data!$AA$7" lockText="1" noThreeD="1"/>
</file>

<file path=xl/ctrlProps/ctrlProp175.xml><?xml version="1.0" encoding="utf-8"?>
<formControlPr xmlns="http://schemas.microsoft.com/office/spreadsheetml/2009/9/main" objectType="CheckBox" fmlaLink="Task_Data!$AB$7" lockText="1" noThreeD="1"/>
</file>

<file path=xl/ctrlProps/ctrlProp176.xml><?xml version="1.0" encoding="utf-8"?>
<formControlPr xmlns="http://schemas.microsoft.com/office/spreadsheetml/2009/9/main" objectType="CheckBox" fmlaLink="Task_Data!$AC$7" lockText="1" noThreeD="1"/>
</file>

<file path=xl/ctrlProps/ctrlProp177.xml><?xml version="1.0" encoding="utf-8"?>
<formControlPr xmlns="http://schemas.microsoft.com/office/spreadsheetml/2009/9/main" objectType="CheckBox" fmlaLink="Task_Data!$AD$7" lockText="1" noThreeD="1"/>
</file>

<file path=xl/ctrlProps/ctrlProp178.xml><?xml version="1.0" encoding="utf-8"?>
<formControlPr xmlns="http://schemas.microsoft.com/office/spreadsheetml/2009/9/main" objectType="CheckBox" fmlaLink="Task_Data!$AE$7" lockText="1" noThreeD="1"/>
</file>

<file path=xl/ctrlProps/ctrlProp179.xml><?xml version="1.0" encoding="utf-8"?>
<formControlPr xmlns="http://schemas.microsoft.com/office/spreadsheetml/2009/9/main" objectType="CheckBox" fmlaLink="Task_Data!$AF$7" lockText="1" noThreeD="1"/>
</file>

<file path=xl/ctrlProps/ctrlProp180.xml><?xml version="1.0" encoding="utf-8"?>
<formControlPr xmlns="http://schemas.microsoft.com/office/spreadsheetml/2009/9/main" objectType="CheckBox" fmlaLink="Task_Data!$AG$7" lockText="1" noThreeD="1"/>
</file>

<file path=xl/ctrlProps/ctrlProp181.xml><?xml version="1.0" encoding="utf-8"?>
<formControlPr xmlns="http://schemas.microsoft.com/office/spreadsheetml/2009/9/main" objectType="CheckBox" fmlaLink="Task_Data!$AH$7" lockText="1" noThreeD="1"/>
</file>

<file path=xl/ctrlProps/ctrlProp182.xml><?xml version="1.0" encoding="utf-8"?>
<formControlPr xmlns="http://schemas.microsoft.com/office/spreadsheetml/2009/9/main" objectType="CheckBox" fmlaLink="Task_Data!$AI$7" lockText="1" noThreeD="1"/>
</file>

<file path=xl/ctrlProps/ctrlProp183.xml><?xml version="1.0" encoding="utf-8"?>
<formControlPr xmlns="http://schemas.microsoft.com/office/spreadsheetml/2009/9/main" objectType="CheckBox" fmlaLink="Task_Data!$AJ$7" lockText="1" noThreeD="1"/>
</file>

<file path=xl/ctrlProps/ctrlProp184.xml><?xml version="1.0" encoding="utf-8"?>
<formControlPr xmlns="http://schemas.microsoft.com/office/spreadsheetml/2009/9/main" objectType="CheckBox" fmlaLink="Task_Data!$AK$7" lockText="1" noThreeD="1"/>
</file>

<file path=xl/ctrlProps/ctrlProp185.xml><?xml version="1.0" encoding="utf-8"?>
<formControlPr xmlns="http://schemas.microsoft.com/office/spreadsheetml/2009/9/main" objectType="CheckBox" fmlaLink="Task_Data!$AL$7" lockText="1" noThreeD="1"/>
</file>

<file path=xl/ctrlProps/ctrlProp186.xml><?xml version="1.0" encoding="utf-8"?>
<formControlPr xmlns="http://schemas.microsoft.com/office/spreadsheetml/2009/9/main" objectType="CheckBox" fmlaLink="Task_Data!$H$8" lockText="1" noThreeD="1"/>
</file>

<file path=xl/ctrlProps/ctrlProp187.xml><?xml version="1.0" encoding="utf-8"?>
<formControlPr xmlns="http://schemas.microsoft.com/office/spreadsheetml/2009/9/main" objectType="CheckBox" fmlaLink="Task_Data!$I$8" lockText="1" noThreeD="1"/>
</file>

<file path=xl/ctrlProps/ctrlProp188.xml><?xml version="1.0" encoding="utf-8"?>
<formControlPr xmlns="http://schemas.microsoft.com/office/spreadsheetml/2009/9/main" objectType="CheckBox" fmlaLink="Task_Data!$J$8" lockText="1" noThreeD="1"/>
</file>

<file path=xl/ctrlProps/ctrlProp189.xml><?xml version="1.0" encoding="utf-8"?>
<formControlPr xmlns="http://schemas.microsoft.com/office/spreadsheetml/2009/9/main" objectType="CheckBox" fmlaLink="Task_Data!$K$8" lockText="1" noThreeD="1"/>
</file>

<file path=xl/ctrlProps/ctrlProp190.xml><?xml version="1.0" encoding="utf-8"?>
<formControlPr xmlns="http://schemas.microsoft.com/office/spreadsheetml/2009/9/main" objectType="CheckBox" fmlaLink="Task_Data!$L$8" lockText="1" noThreeD="1"/>
</file>

<file path=xl/ctrlProps/ctrlProp191.xml><?xml version="1.0" encoding="utf-8"?>
<formControlPr xmlns="http://schemas.microsoft.com/office/spreadsheetml/2009/9/main" objectType="CheckBox" fmlaLink="Task_Data!$M$8" lockText="1" noThreeD="1"/>
</file>

<file path=xl/ctrlProps/ctrlProp192.xml><?xml version="1.0" encoding="utf-8"?>
<formControlPr xmlns="http://schemas.microsoft.com/office/spreadsheetml/2009/9/main" objectType="CheckBox" fmlaLink="Task_Data!$N$8" lockText="1" noThreeD="1"/>
</file>

<file path=xl/ctrlProps/ctrlProp193.xml><?xml version="1.0" encoding="utf-8"?>
<formControlPr xmlns="http://schemas.microsoft.com/office/spreadsheetml/2009/9/main" objectType="CheckBox" fmlaLink="Task_Data!$O$8" lockText="1" noThreeD="1"/>
</file>

<file path=xl/ctrlProps/ctrlProp194.xml><?xml version="1.0" encoding="utf-8"?>
<formControlPr xmlns="http://schemas.microsoft.com/office/spreadsheetml/2009/9/main" objectType="CheckBox" fmlaLink="Task_Data!$P$8" lockText="1" noThreeD="1"/>
</file>

<file path=xl/ctrlProps/ctrlProp195.xml><?xml version="1.0" encoding="utf-8"?>
<formControlPr xmlns="http://schemas.microsoft.com/office/spreadsheetml/2009/9/main" objectType="CheckBox" fmlaLink="Task_Data!$Q$8" lockText="1" noThreeD="1"/>
</file>

<file path=xl/ctrlProps/ctrlProp196.xml><?xml version="1.0" encoding="utf-8"?>
<formControlPr xmlns="http://schemas.microsoft.com/office/spreadsheetml/2009/9/main" objectType="CheckBox" fmlaLink="Task_Data!$R$8" lockText="1" noThreeD="1"/>
</file>

<file path=xl/ctrlProps/ctrlProp197.xml><?xml version="1.0" encoding="utf-8"?>
<formControlPr xmlns="http://schemas.microsoft.com/office/spreadsheetml/2009/9/main" objectType="CheckBox" fmlaLink="Task_Data!$S$8" lockText="1" noThreeD="1"/>
</file>

<file path=xl/ctrlProps/ctrlProp198.xml><?xml version="1.0" encoding="utf-8"?>
<formControlPr xmlns="http://schemas.microsoft.com/office/spreadsheetml/2009/9/main" objectType="CheckBox" fmlaLink="Task_Data!$T$8" lockText="1" noThreeD="1"/>
</file>

<file path=xl/ctrlProps/ctrlProp199.xml><?xml version="1.0" encoding="utf-8"?>
<formControlPr xmlns="http://schemas.microsoft.com/office/spreadsheetml/2009/9/main" objectType="CheckBox" fmlaLink="Task_Data!$U$8" lockText="1" noThreeD="1"/>
</file>

<file path=xl/ctrlProps/ctrlProp200.xml><?xml version="1.0" encoding="utf-8"?>
<formControlPr xmlns="http://schemas.microsoft.com/office/spreadsheetml/2009/9/main" objectType="CheckBox" fmlaLink="Task_Data!$V$8" lockText="1" noThreeD="1"/>
</file>

<file path=xl/ctrlProps/ctrlProp201.xml><?xml version="1.0" encoding="utf-8"?>
<formControlPr xmlns="http://schemas.microsoft.com/office/spreadsheetml/2009/9/main" objectType="CheckBox" fmlaLink="Task_Data!$W$8" lockText="1" noThreeD="1"/>
</file>

<file path=xl/ctrlProps/ctrlProp202.xml><?xml version="1.0" encoding="utf-8"?>
<formControlPr xmlns="http://schemas.microsoft.com/office/spreadsheetml/2009/9/main" objectType="CheckBox" fmlaLink="Task_Data!$X$8" lockText="1" noThreeD="1"/>
</file>

<file path=xl/ctrlProps/ctrlProp203.xml><?xml version="1.0" encoding="utf-8"?>
<formControlPr xmlns="http://schemas.microsoft.com/office/spreadsheetml/2009/9/main" objectType="CheckBox" fmlaLink="Task_Data!$Y$8" lockText="1" noThreeD="1"/>
</file>

<file path=xl/ctrlProps/ctrlProp204.xml><?xml version="1.0" encoding="utf-8"?>
<formControlPr xmlns="http://schemas.microsoft.com/office/spreadsheetml/2009/9/main" objectType="CheckBox" fmlaLink="Task_Data!$Z$8" lockText="1" noThreeD="1"/>
</file>

<file path=xl/ctrlProps/ctrlProp205.xml><?xml version="1.0" encoding="utf-8"?>
<formControlPr xmlns="http://schemas.microsoft.com/office/spreadsheetml/2009/9/main" objectType="CheckBox" fmlaLink="Task_Data!$AA$8" lockText="1" noThreeD="1"/>
</file>

<file path=xl/ctrlProps/ctrlProp206.xml><?xml version="1.0" encoding="utf-8"?>
<formControlPr xmlns="http://schemas.microsoft.com/office/spreadsheetml/2009/9/main" objectType="CheckBox" fmlaLink="Task_Data!$AB$8" lockText="1" noThreeD="1"/>
</file>

<file path=xl/ctrlProps/ctrlProp207.xml><?xml version="1.0" encoding="utf-8"?>
<formControlPr xmlns="http://schemas.microsoft.com/office/spreadsheetml/2009/9/main" objectType="CheckBox" fmlaLink="Task_Data!$AC$8" lockText="1" noThreeD="1"/>
</file>

<file path=xl/ctrlProps/ctrlProp208.xml><?xml version="1.0" encoding="utf-8"?>
<formControlPr xmlns="http://schemas.microsoft.com/office/spreadsheetml/2009/9/main" objectType="CheckBox" fmlaLink="Task_Data!$AD$8" lockText="1" noThreeD="1"/>
</file>

<file path=xl/ctrlProps/ctrlProp209.xml><?xml version="1.0" encoding="utf-8"?>
<formControlPr xmlns="http://schemas.microsoft.com/office/spreadsheetml/2009/9/main" objectType="CheckBox" fmlaLink="Task_Data!$AE$8" lockText="1" noThreeD="1"/>
</file>

<file path=xl/ctrlProps/ctrlProp210.xml><?xml version="1.0" encoding="utf-8"?>
<formControlPr xmlns="http://schemas.microsoft.com/office/spreadsheetml/2009/9/main" objectType="CheckBox" fmlaLink="Task_Data!$AF$8" lockText="1" noThreeD="1"/>
</file>

<file path=xl/ctrlProps/ctrlProp211.xml><?xml version="1.0" encoding="utf-8"?>
<formControlPr xmlns="http://schemas.microsoft.com/office/spreadsheetml/2009/9/main" objectType="CheckBox" fmlaLink="Task_Data!$AG$8" lockText="1" noThreeD="1"/>
</file>

<file path=xl/ctrlProps/ctrlProp212.xml><?xml version="1.0" encoding="utf-8"?>
<formControlPr xmlns="http://schemas.microsoft.com/office/spreadsheetml/2009/9/main" objectType="CheckBox" fmlaLink="Task_Data!$AH$8" lockText="1" noThreeD="1"/>
</file>

<file path=xl/ctrlProps/ctrlProp213.xml><?xml version="1.0" encoding="utf-8"?>
<formControlPr xmlns="http://schemas.microsoft.com/office/spreadsheetml/2009/9/main" objectType="CheckBox" fmlaLink="Task_Data!$AI$8" lockText="1" noThreeD="1"/>
</file>

<file path=xl/ctrlProps/ctrlProp214.xml><?xml version="1.0" encoding="utf-8"?>
<formControlPr xmlns="http://schemas.microsoft.com/office/spreadsheetml/2009/9/main" objectType="CheckBox" fmlaLink="Task_Data!$AJ$8" lockText="1" noThreeD="1"/>
</file>

<file path=xl/ctrlProps/ctrlProp215.xml><?xml version="1.0" encoding="utf-8"?>
<formControlPr xmlns="http://schemas.microsoft.com/office/spreadsheetml/2009/9/main" objectType="CheckBox" fmlaLink="Task_Data!$AK$8" lockText="1" noThreeD="1"/>
</file>

<file path=xl/ctrlProps/ctrlProp216.xml><?xml version="1.0" encoding="utf-8"?>
<formControlPr xmlns="http://schemas.microsoft.com/office/spreadsheetml/2009/9/main" objectType="CheckBox" fmlaLink="Task_Data!$AL$8" lockText="1" noThreeD="1"/>
</file>

<file path=xl/ctrlProps/ctrlProp217.xml><?xml version="1.0" encoding="utf-8"?>
<formControlPr xmlns="http://schemas.microsoft.com/office/spreadsheetml/2009/9/main" objectType="CheckBox" fmlaLink="Task_Data!$H$9" lockText="1" noThreeD="1"/>
</file>

<file path=xl/ctrlProps/ctrlProp218.xml><?xml version="1.0" encoding="utf-8"?>
<formControlPr xmlns="http://schemas.microsoft.com/office/spreadsheetml/2009/9/main" objectType="CheckBox" fmlaLink="Task_Data!$I$9" lockText="1" noThreeD="1"/>
</file>

<file path=xl/ctrlProps/ctrlProp219.xml><?xml version="1.0" encoding="utf-8"?>
<formControlPr xmlns="http://schemas.microsoft.com/office/spreadsheetml/2009/9/main" objectType="CheckBox" fmlaLink="Task_Data!$J$9" lockText="1" noThreeD="1"/>
</file>

<file path=xl/ctrlProps/ctrlProp220.xml><?xml version="1.0" encoding="utf-8"?>
<formControlPr xmlns="http://schemas.microsoft.com/office/spreadsheetml/2009/9/main" objectType="CheckBox" fmlaLink="Task_Data!$K$9" lockText="1" noThreeD="1"/>
</file>

<file path=xl/ctrlProps/ctrlProp221.xml><?xml version="1.0" encoding="utf-8"?>
<formControlPr xmlns="http://schemas.microsoft.com/office/spreadsheetml/2009/9/main" objectType="CheckBox" fmlaLink="Task_Data!$L$9" lockText="1" noThreeD="1"/>
</file>

<file path=xl/ctrlProps/ctrlProp222.xml><?xml version="1.0" encoding="utf-8"?>
<formControlPr xmlns="http://schemas.microsoft.com/office/spreadsheetml/2009/9/main" objectType="CheckBox" fmlaLink="Task_Data!$M$9" lockText="1" noThreeD="1"/>
</file>

<file path=xl/ctrlProps/ctrlProp223.xml><?xml version="1.0" encoding="utf-8"?>
<formControlPr xmlns="http://schemas.microsoft.com/office/spreadsheetml/2009/9/main" objectType="CheckBox" fmlaLink="Task_Data!$N$9" lockText="1" noThreeD="1"/>
</file>

<file path=xl/ctrlProps/ctrlProp224.xml><?xml version="1.0" encoding="utf-8"?>
<formControlPr xmlns="http://schemas.microsoft.com/office/spreadsheetml/2009/9/main" objectType="CheckBox" fmlaLink="Task_Data!$O$9" lockText="1" noThreeD="1"/>
</file>

<file path=xl/ctrlProps/ctrlProp225.xml><?xml version="1.0" encoding="utf-8"?>
<formControlPr xmlns="http://schemas.microsoft.com/office/spreadsheetml/2009/9/main" objectType="CheckBox" fmlaLink="Task_Data!$P$9" lockText="1" noThreeD="1"/>
</file>

<file path=xl/ctrlProps/ctrlProp226.xml><?xml version="1.0" encoding="utf-8"?>
<formControlPr xmlns="http://schemas.microsoft.com/office/spreadsheetml/2009/9/main" objectType="CheckBox" fmlaLink="Task_Data!$Q$9" lockText="1" noThreeD="1"/>
</file>

<file path=xl/ctrlProps/ctrlProp227.xml><?xml version="1.0" encoding="utf-8"?>
<formControlPr xmlns="http://schemas.microsoft.com/office/spreadsheetml/2009/9/main" objectType="CheckBox" fmlaLink="Task_Data!$R$9" lockText="1" noThreeD="1"/>
</file>

<file path=xl/ctrlProps/ctrlProp228.xml><?xml version="1.0" encoding="utf-8"?>
<formControlPr xmlns="http://schemas.microsoft.com/office/spreadsheetml/2009/9/main" objectType="CheckBox" fmlaLink="Task_Data!$S$9" lockText="1" noThreeD="1"/>
</file>

<file path=xl/ctrlProps/ctrlProp229.xml><?xml version="1.0" encoding="utf-8"?>
<formControlPr xmlns="http://schemas.microsoft.com/office/spreadsheetml/2009/9/main" objectType="CheckBox" fmlaLink="Task_Data!$T$9" lockText="1" noThreeD="1"/>
</file>

<file path=xl/ctrlProps/ctrlProp230.xml><?xml version="1.0" encoding="utf-8"?>
<formControlPr xmlns="http://schemas.microsoft.com/office/spreadsheetml/2009/9/main" objectType="CheckBox" fmlaLink="Task_Data!$U$9" lockText="1" noThreeD="1"/>
</file>

<file path=xl/ctrlProps/ctrlProp231.xml><?xml version="1.0" encoding="utf-8"?>
<formControlPr xmlns="http://schemas.microsoft.com/office/spreadsheetml/2009/9/main" objectType="CheckBox" fmlaLink="Task_Data!$V$9" lockText="1" noThreeD="1"/>
</file>

<file path=xl/ctrlProps/ctrlProp232.xml><?xml version="1.0" encoding="utf-8"?>
<formControlPr xmlns="http://schemas.microsoft.com/office/spreadsheetml/2009/9/main" objectType="CheckBox" fmlaLink="Task_Data!$W$9" lockText="1" noThreeD="1"/>
</file>

<file path=xl/ctrlProps/ctrlProp233.xml><?xml version="1.0" encoding="utf-8"?>
<formControlPr xmlns="http://schemas.microsoft.com/office/spreadsheetml/2009/9/main" objectType="CheckBox" fmlaLink="Task_Data!$X$9" lockText="1" noThreeD="1"/>
</file>

<file path=xl/ctrlProps/ctrlProp234.xml><?xml version="1.0" encoding="utf-8"?>
<formControlPr xmlns="http://schemas.microsoft.com/office/spreadsheetml/2009/9/main" objectType="CheckBox" fmlaLink="Task_Data!$Y$9" lockText="1" noThreeD="1"/>
</file>

<file path=xl/ctrlProps/ctrlProp235.xml><?xml version="1.0" encoding="utf-8"?>
<formControlPr xmlns="http://schemas.microsoft.com/office/spreadsheetml/2009/9/main" objectType="CheckBox" fmlaLink="Task_Data!$Z$9" lockText="1" noThreeD="1"/>
</file>

<file path=xl/ctrlProps/ctrlProp236.xml><?xml version="1.0" encoding="utf-8"?>
<formControlPr xmlns="http://schemas.microsoft.com/office/spreadsheetml/2009/9/main" objectType="CheckBox" fmlaLink="Task_Data!$AA$9" lockText="1" noThreeD="1"/>
</file>

<file path=xl/ctrlProps/ctrlProp237.xml><?xml version="1.0" encoding="utf-8"?>
<formControlPr xmlns="http://schemas.microsoft.com/office/spreadsheetml/2009/9/main" objectType="CheckBox" fmlaLink="Task_Data!$AB$9" lockText="1" noThreeD="1"/>
</file>

<file path=xl/ctrlProps/ctrlProp238.xml><?xml version="1.0" encoding="utf-8"?>
<formControlPr xmlns="http://schemas.microsoft.com/office/spreadsheetml/2009/9/main" objectType="CheckBox" fmlaLink="Task_Data!$AC$9" lockText="1" noThreeD="1"/>
</file>

<file path=xl/ctrlProps/ctrlProp239.xml><?xml version="1.0" encoding="utf-8"?>
<formControlPr xmlns="http://schemas.microsoft.com/office/spreadsheetml/2009/9/main" objectType="CheckBox" fmlaLink="Task_Data!$AD$9" lockText="1" noThreeD="1"/>
</file>

<file path=xl/ctrlProps/ctrlProp240.xml><?xml version="1.0" encoding="utf-8"?>
<formControlPr xmlns="http://schemas.microsoft.com/office/spreadsheetml/2009/9/main" objectType="CheckBox" fmlaLink="Task_Data!$AE$9" lockText="1" noThreeD="1"/>
</file>

<file path=xl/ctrlProps/ctrlProp241.xml><?xml version="1.0" encoding="utf-8"?>
<formControlPr xmlns="http://schemas.microsoft.com/office/spreadsheetml/2009/9/main" objectType="CheckBox" fmlaLink="Task_Data!$AF$9" lockText="1" noThreeD="1"/>
</file>

<file path=xl/ctrlProps/ctrlProp242.xml><?xml version="1.0" encoding="utf-8"?>
<formControlPr xmlns="http://schemas.microsoft.com/office/spreadsheetml/2009/9/main" objectType="CheckBox" fmlaLink="Task_Data!$AG$9" lockText="1" noThreeD="1"/>
</file>

<file path=xl/ctrlProps/ctrlProp243.xml><?xml version="1.0" encoding="utf-8"?>
<formControlPr xmlns="http://schemas.microsoft.com/office/spreadsheetml/2009/9/main" objectType="CheckBox" fmlaLink="Task_Data!$AH$9" lockText="1" noThreeD="1"/>
</file>

<file path=xl/ctrlProps/ctrlProp244.xml><?xml version="1.0" encoding="utf-8"?>
<formControlPr xmlns="http://schemas.microsoft.com/office/spreadsheetml/2009/9/main" objectType="CheckBox" fmlaLink="Task_Data!$AI$9" lockText="1" noThreeD="1"/>
</file>

<file path=xl/ctrlProps/ctrlProp245.xml><?xml version="1.0" encoding="utf-8"?>
<formControlPr xmlns="http://schemas.microsoft.com/office/spreadsheetml/2009/9/main" objectType="CheckBox" fmlaLink="Task_Data!$AJ$9" lockText="1" noThreeD="1"/>
</file>

<file path=xl/ctrlProps/ctrlProp246.xml><?xml version="1.0" encoding="utf-8"?>
<formControlPr xmlns="http://schemas.microsoft.com/office/spreadsheetml/2009/9/main" objectType="CheckBox" fmlaLink="Task_Data!$AK$9" lockText="1" noThreeD="1"/>
</file>

<file path=xl/ctrlProps/ctrlProp247.xml><?xml version="1.0" encoding="utf-8"?>
<formControlPr xmlns="http://schemas.microsoft.com/office/spreadsheetml/2009/9/main" objectType="CheckBox" fmlaLink="Task_Data!$AL$9" lockText="1" noThreeD="1"/>
</file>

<file path=xl/ctrlProps/ctrlProp248.xml><?xml version="1.0" encoding="utf-8"?>
<formControlPr xmlns="http://schemas.microsoft.com/office/spreadsheetml/2009/9/main" objectType="CheckBox" fmlaLink="Task_Data!$H$10" lockText="1" noThreeD="1"/>
</file>

<file path=xl/ctrlProps/ctrlProp249.xml><?xml version="1.0" encoding="utf-8"?>
<formControlPr xmlns="http://schemas.microsoft.com/office/spreadsheetml/2009/9/main" objectType="CheckBox" fmlaLink="Task_Data!$I$10" lockText="1" noThreeD="1"/>
</file>

<file path=xl/ctrlProps/ctrlProp250.xml><?xml version="1.0" encoding="utf-8"?>
<formControlPr xmlns="http://schemas.microsoft.com/office/spreadsheetml/2009/9/main" objectType="CheckBox" fmlaLink="Task_Data!$J$10" lockText="1" noThreeD="1"/>
</file>

<file path=xl/ctrlProps/ctrlProp251.xml><?xml version="1.0" encoding="utf-8"?>
<formControlPr xmlns="http://schemas.microsoft.com/office/spreadsheetml/2009/9/main" objectType="CheckBox" fmlaLink="Task_Data!$K$10" lockText="1" noThreeD="1"/>
</file>

<file path=xl/ctrlProps/ctrlProp252.xml><?xml version="1.0" encoding="utf-8"?>
<formControlPr xmlns="http://schemas.microsoft.com/office/spreadsheetml/2009/9/main" objectType="CheckBox" fmlaLink="Task_Data!$L$10" lockText="1" noThreeD="1"/>
</file>

<file path=xl/ctrlProps/ctrlProp253.xml><?xml version="1.0" encoding="utf-8"?>
<formControlPr xmlns="http://schemas.microsoft.com/office/spreadsheetml/2009/9/main" objectType="CheckBox" fmlaLink="Task_Data!$M$10" lockText="1" noThreeD="1"/>
</file>

<file path=xl/ctrlProps/ctrlProp254.xml><?xml version="1.0" encoding="utf-8"?>
<formControlPr xmlns="http://schemas.microsoft.com/office/spreadsheetml/2009/9/main" objectType="CheckBox" fmlaLink="Task_Data!$N$10" lockText="1" noThreeD="1"/>
</file>

<file path=xl/ctrlProps/ctrlProp255.xml><?xml version="1.0" encoding="utf-8"?>
<formControlPr xmlns="http://schemas.microsoft.com/office/spreadsheetml/2009/9/main" objectType="CheckBox" fmlaLink="Task_Data!$O$10" lockText="1" noThreeD="1"/>
</file>

<file path=xl/ctrlProps/ctrlProp256.xml><?xml version="1.0" encoding="utf-8"?>
<formControlPr xmlns="http://schemas.microsoft.com/office/spreadsheetml/2009/9/main" objectType="CheckBox" fmlaLink="Task_Data!$P$10" lockText="1" noThreeD="1"/>
</file>

<file path=xl/ctrlProps/ctrlProp257.xml><?xml version="1.0" encoding="utf-8"?>
<formControlPr xmlns="http://schemas.microsoft.com/office/spreadsheetml/2009/9/main" objectType="CheckBox" fmlaLink="Task_Data!$Q$10" lockText="1" noThreeD="1"/>
</file>

<file path=xl/ctrlProps/ctrlProp258.xml><?xml version="1.0" encoding="utf-8"?>
<formControlPr xmlns="http://schemas.microsoft.com/office/spreadsheetml/2009/9/main" objectType="CheckBox" fmlaLink="Task_Data!$R$10" lockText="1" noThreeD="1"/>
</file>

<file path=xl/ctrlProps/ctrlProp259.xml><?xml version="1.0" encoding="utf-8"?>
<formControlPr xmlns="http://schemas.microsoft.com/office/spreadsheetml/2009/9/main" objectType="CheckBox" fmlaLink="Task_Data!$S$10" lockText="1" noThreeD="1"/>
</file>

<file path=xl/ctrlProps/ctrlProp260.xml><?xml version="1.0" encoding="utf-8"?>
<formControlPr xmlns="http://schemas.microsoft.com/office/spreadsheetml/2009/9/main" objectType="CheckBox" fmlaLink="Task_Data!$T$10" lockText="1" noThreeD="1"/>
</file>

<file path=xl/ctrlProps/ctrlProp261.xml><?xml version="1.0" encoding="utf-8"?>
<formControlPr xmlns="http://schemas.microsoft.com/office/spreadsheetml/2009/9/main" objectType="CheckBox" fmlaLink="Task_Data!$U$10" lockText="1" noThreeD="1"/>
</file>

<file path=xl/ctrlProps/ctrlProp262.xml><?xml version="1.0" encoding="utf-8"?>
<formControlPr xmlns="http://schemas.microsoft.com/office/spreadsheetml/2009/9/main" objectType="CheckBox" fmlaLink="Task_Data!$V$10" lockText="1" noThreeD="1"/>
</file>

<file path=xl/ctrlProps/ctrlProp263.xml><?xml version="1.0" encoding="utf-8"?>
<formControlPr xmlns="http://schemas.microsoft.com/office/spreadsheetml/2009/9/main" objectType="CheckBox" fmlaLink="Task_Data!$W$10" lockText="1" noThreeD="1"/>
</file>

<file path=xl/ctrlProps/ctrlProp264.xml><?xml version="1.0" encoding="utf-8"?>
<formControlPr xmlns="http://schemas.microsoft.com/office/spreadsheetml/2009/9/main" objectType="CheckBox" fmlaLink="Task_Data!$X$10" lockText="1" noThreeD="1"/>
</file>

<file path=xl/ctrlProps/ctrlProp265.xml><?xml version="1.0" encoding="utf-8"?>
<formControlPr xmlns="http://schemas.microsoft.com/office/spreadsheetml/2009/9/main" objectType="CheckBox" fmlaLink="Task_Data!$Y$10" lockText="1" noThreeD="1"/>
</file>

<file path=xl/ctrlProps/ctrlProp266.xml><?xml version="1.0" encoding="utf-8"?>
<formControlPr xmlns="http://schemas.microsoft.com/office/spreadsheetml/2009/9/main" objectType="CheckBox" fmlaLink="Task_Data!$Z$10" lockText="1" noThreeD="1"/>
</file>

<file path=xl/ctrlProps/ctrlProp267.xml><?xml version="1.0" encoding="utf-8"?>
<formControlPr xmlns="http://schemas.microsoft.com/office/spreadsheetml/2009/9/main" objectType="CheckBox" fmlaLink="Task_Data!$AA$10" lockText="1" noThreeD="1"/>
</file>

<file path=xl/ctrlProps/ctrlProp268.xml><?xml version="1.0" encoding="utf-8"?>
<formControlPr xmlns="http://schemas.microsoft.com/office/spreadsheetml/2009/9/main" objectType="CheckBox" fmlaLink="Task_Data!$AB$10" lockText="1" noThreeD="1"/>
</file>

<file path=xl/ctrlProps/ctrlProp269.xml><?xml version="1.0" encoding="utf-8"?>
<formControlPr xmlns="http://schemas.microsoft.com/office/spreadsheetml/2009/9/main" objectType="CheckBox" fmlaLink="Task_Data!$AC$10" lockText="1" noThreeD="1"/>
</file>

<file path=xl/ctrlProps/ctrlProp270.xml><?xml version="1.0" encoding="utf-8"?>
<formControlPr xmlns="http://schemas.microsoft.com/office/spreadsheetml/2009/9/main" objectType="CheckBox" fmlaLink="Task_Data!$AD$10" lockText="1" noThreeD="1"/>
</file>

<file path=xl/ctrlProps/ctrlProp271.xml><?xml version="1.0" encoding="utf-8"?>
<formControlPr xmlns="http://schemas.microsoft.com/office/spreadsheetml/2009/9/main" objectType="CheckBox" fmlaLink="Task_Data!$AE$10" lockText="1" noThreeD="1"/>
</file>

<file path=xl/ctrlProps/ctrlProp272.xml><?xml version="1.0" encoding="utf-8"?>
<formControlPr xmlns="http://schemas.microsoft.com/office/spreadsheetml/2009/9/main" objectType="CheckBox" fmlaLink="Task_Data!$AF$10" lockText="1" noThreeD="1"/>
</file>

<file path=xl/ctrlProps/ctrlProp273.xml><?xml version="1.0" encoding="utf-8"?>
<formControlPr xmlns="http://schemas.microsoft.com/office/spreadsheetml/2009/9/main" objectType="CheckBox" fmlaLink="Task_Data!$AG$10" lockText="1" noThreeD="1"/>
</file>

<file path=xl/ctrlProps/ctrlProp274.xml><?xml version="1.0" encoding="utf-8"?>
<formControlPr xmlns="http://schemas.microsoft.com/office/spreadsheetml/2009/9/main" objectType="CheckBox" fmlaLink="Task_Data!$AH$10" lockText="1" noThreeD="1"/>
</file>

<file path=xl/ctrlProps/ctrlProp275.xml><?xml version="1.0" encoding="utf-8"?>
<formControlPr xmlns="http://schemas.microsoft.com/office/spreadsheetml/2009/9/main" objectType="CheckBox" fmlaLink="Task_Data!$AI$10" lockText="1" noThreeD="1"/>
</file>

<file path=xl/ctrlProps/ctrlProp276.xml><?xml version="1.0" encoding="utf-8"?>
<formControlPr xmlns="http://schemas.microsoft.com/office/spreadsheetml/2009/9/main" objectType="CheckBox" fmlaLink="Task_Data!$AJ$10" lockText="1" noThreeD="1"/>
</file>

<file path=xl/ctrlProps/ctrlProp277.xml><?xml version="1.0" encoding="utf-8"?>
<formControlPr xmlns="http://schemas.microsoft.com/office/spreadsheetml/2009/9/main" objectType="CheckBox" fmlaLink="Task_Data!$AK$10" lockText="1" noThreeD="1"/>
</file>

<file path=xl/ctrlProps/ctrlProp278.xml><?xml version="1.0" encoding="utf-8"?>
<formControlPr xmlns="http://schemas.microsoft.com/office/spreadsheetml/2009/9/main" objectType="CheckBox" fmlaLink="Task_Data!$AL$10" lockText="1" noThreeD="1"/>
</file>

<file path=xl/ctrlProps/ctrlProp279.xml><?xml version="1.0" encoding="utf-8"?>
<formControlPr xmlns="http://schemas.microsoft.com/office/spreadsheetml/2009/9/main" objectType="CheckBox" fmlaLink="Task_Data!$H$11" lockText="1" noThreeD="1"/>
</file>

<file path=xl/ctrlProps/ctrlProp280.xml><?xml version="1.0" encoding="utf-8"?>
<formControlPr xmlns="http://schemas.microsoft.com/office/spreadsheetml/2009/9/main" objectType="CheckBox" fmlaLink="Task_Data!$I$11" lockText="1" noThreeD="1"/>
</file>

<file path=xl/ctrlProps/ctrlProp281.xml><?xml version="1.0" encoding="utf-8"?>
<formControlPr xmlns="http://schemas.microsoft.com/office/spreadsheetml/2009/9/main" objectType="CheckBox" fmlaLink="Task_Data!$J$11" lockText="1" noThreeD="1"/>
</file>

<file path=xl/ctrlProps/ctrlProp282.xml><?xml version="1.0" encoding="utf-8"?>
<formControlPr xmlns="http://schemas.microsoft.com/office/spreadsheetml/2009/9/main" objectType="CheckBox" fmlaLink="Task_Data!$K$11" lockText="1" noThreeD="1"/>
</file>

<file path=xl/ctrlProps/ctrlProp283.xml><?xml version="1.0" encoding="utf-8"?>
<formControlPr xmlns="http://schemas.microsoft.com/office/spreadsheetml/2009/9/main" objectType="CheckBox" fmlaLink="Task_Data!$L$11" lockText="1" noThreeD="1"/>
</file>

<file path=xl/ctrlProps/ctrlProp284.xml><?xml version="1.0" encoding="utf-8"?>
<formControlPr xmlns="http://schemas.microsoft.com/office/spreadsheetml/2009/9/main" objectType="CheckBox" fmlaLink="Task_Data!$M$11" lockText="1" noThreeD="1"/>
</file>

<file path=xl/ctrlProps/ctrlProp285.xml><?xml version="1.0" encoding="utf-8"?>
<formControlPr xmlns="http://schemas.microsoft.com/office/spreadsheetml/2009/9/main" objectType="CheckBox" fmlaLink="Task_Data!$N$11" lockText="1" noThreeD="1"/>
</file>

<file path=xl/ctrlProps/ctrlProp286.xml><?xml version="1.0" encoding="utf-8"?>
<formControlPr xmlns="http://schemas.microsoft.com/office/spreadsheetml/2009/9/main" objectType="CheckBox" fmlaLink="Task_Data!$O$11" lockText="1" noThreeD="1"/>
</file>

<file path=xl/ctrlProps/ctrlProp287.xml><?xml version="1.0" encoding="utf-8"?>
<formControlPr xmlns="http://schemas.microsoft.com/office/spreadsheetml/2009/9/main" objectType="CheckBox" fmlaLink="Task_Data!$P$11" lockText="1" noThreeD="1"/>
</file>

<file path=xl/ctrlProps/ctrlProp288.xml><?xml version="1.0" encoding="utf-8"?>
<formControlPr xmlns="http://schemas.microsoft.com/office/spreadsheetml/2009/9/main" objectType="CheckBox" fmlaLink="Task_Data!$Q$11" lockText="1" noThreeD="1"/>
</file>

<file path=xl/ctrlProps/ctrlProp289.xml><?xml version="1.0" encoding="utf-8"?>
<formControlPr xmlns="http://schemas.microsoft.com/office/spreadsheetml/2009/9/main" objectType="CheckBox" fmlaLink="Task_Data!$R$11" lockText="1" noThreeD="1"/>
</file>

<file path=xl/ctrlProps/ctrlProp290.xml><?xml version="1.0" encoding="utf-8"?>
<formControlPr xmlns="http://schemas.microsoft.com/office/spreadsheetml/2009/9/main" objectType="CheckBox" fmlaLink="Task_Data!$S$11" lockText="1" noThreeD="1"/>
</file>

<file path=xl/ctrlProps/ctrlProp291.xml><?xml version="1.0" encoding="utf-8"?>
<formControlPr xmlns="http://schemas.microsoft.com/office/spreadsheetml/2009/9/main" objectType="CheckBox" fmlaLink="Task_Data!$T$11" lockText="1" noThreeD="1"/>
</file>

<file path=xl/ctrlProps/ctrlProp292.xml><?xml version="1.0" encoding="utf-8"?>
<formControlPr xmlns="http://schemas.microsoft.com/office/spreadsheetml/2009/9/main" objectType="CheckBox" fmlaLink="Task_Data!$U$11" lockText="1" noThreeD="1"/>
</file>

<file path=xl/ctrlProps/ctrlProp293.xml><?xml version="1.0" encoding="utf-8"?>
<formControlPr xmlns="http://schemas.microsoft.com/office/spreadsheetml/2009/9/main" objectType="CheckBox" fmlaLink="Task_Data!$V$11" lockText="1" noThreeD="1"/>
</file>

<file path=xl/ctrlProps/ctrlProp294.xml><?xml version="1.0" encoding="utf-8"?>
<formControlPr xmlns="http://schemas.microsoft.com/office/spreadsheetml/2009/9/main" objectType="CheckBox" fmlaLink="Task_Data!$W$11" lockText="1" noThreeD="1"/>
</file>

<file path=xl/ctrlProps/ctrlProp295.xml><?xml version="1.0" encoding="utf-8"?>
<formControlPr xmlns="http://schemas.microsoft.com/office/spreadsheetml/2009/9/main" objectType="CheckBox" fmlaLink="Task_Data!$X$11" lockText="1" noThreeD="1"/>
</file>

<file path=xl/ctrlProps/ctrlProp296.xml><?xml version="1.0" encoding="utf-8"?>
<formControlPr xmlns="http://schemas.microsoft.com/office/spreadsheetml/2009/9/main" objectType="CheckBox" fmlaLink="Task_Data!$Y$11" lockText="1" noThreeD="1"/>
</file>

<file path=xl/ctrlProps/ctrlProp297.xml><?xml version="1.0" encoding="utf-8"?>
<formControlPr xmlns="http://schemas.microsoft.com/office/spreadsheetml/2009/9/main" objectType="CheckBox" fmlaLink="Task_Data!$Z$11" lockText="1" noThreeD="1"/>
</file>

<file path=xl/ctrlProps/ctrlProp298.xml><?xml version="1.0" encoding="utf-8"?>
<formControlPr xmlns="http://schemas.microsoft.com/office/spreadsheetml/2009/9/main" objectType="CheckBox" fmlaLink="Task_Data!$AA$11" lockText="1" noThreeD="1"/>
</file>

<file path=xl/ctrlProps/ctrlProp299.xml><?xml version="1.0" encoding="utf-8"?>
<formControlPr xmlns="http://schemas.microsoft.com/office/spreadsheetml/2009/9/main" objectType="CheckBox" fmlaLink="Task_Data!$AB$11" lockText="1" noThreeD="1"/>
</file>

<file path=xl/ctrlProps/ctrlProp300.xml><?xml version="1.0" encoding="utf-8"?>
<formControlPr xmlns="http://schemas.microsoft.com/office/spreadsheetml/2009/9/main" objectType="CheckBox" fmlaLink="Task_Data!$AC$11" lockText="1" noThreeD="1"/>
</file>

<file path=xl/ctrlProps/ctrlProp301.xml><?xml version="1.0" encoding="utf-8"?>
<formControlPr xmlns="http://schemas.microsoft.com/office/spreadsheetml/2009/9/main" objectType="CheckBox" fmlaLink="Task_Data!$AD$11" lockText="1" noThreeD="1"/>
</file>

<file path=xl/ctrlProps/ctrlProp302.xml><?xml version="1.0" encoding="utf-8"?>
<formControlPr xmlns="http://schemas.microsoft.com/office/spreadsheetml/2009/9/main" objectType="CheckBox" fmlaLink="Task_Data!$AE$11" lockText="1" noThreeD="1"/>
</file>

<file path=xl/ctrlProps/ctrlProp303.xml><?xml version="1.0" encoding="utf-8"?>
<formControlPr xmlns="http://schemas.microsoft.com/office/spreadsheetml/2009/9/main" objectType="CheckBox" fmlaLink="Task_Data!$AF$11" lockText="1" noThreeD="1"/>
</file>

<file path=xl/ctrlProps/ctrlProp304.xml><?xml version="1.0" encoding="utf-8"?>
<formControlPr xmlns="http://schemas.microsoft.com/office/spreadsheetml/2009/9/main" objectType="CheckBox" fmlaLink="Task_Data!$AG$11" lockText="1" noThreeD="1"/>
</file>

<file path=xl/ctrlProps/ctrlProp305.xml><?xml version="1.0" encoding="utf-8"?>
<formControlPr xmlns="http://schemas.microsoft.com/office/spreadsheetml/2009/9/main" objectType="CheckBox" fmlaLink="Task_Data!$AH$11" lockText="1" noThreeD="1"/>
</file>

<file path=xl/ctrlProps/ctrlProp306.xml><?xml version="1.0" encoding="utf-8"?>
<formControlPr xmlns="http://schemas.microsoft.com/office/spreadsheetml/2009/9/main" objectType="CheckBox" fmlaLink="Task_Data!$AI$11" lockText="1" noThreeD="1"/>
</file>

<file path=xl/ctrlProps/ctrlProp307.xml><?xml version="1.0" encoding="utf-8"?>
<formControlPr xmlns="http://schemas.microsoft.com/office/spreadsheetml/2009/9/main" objectType="CheckBox" fmlaLink="Task_Data!$AJ$11" lockText="1" noThreeD="1"/>
</file>

<file path=xl/ctrlProps/ctrlProp308.xml><?xml version="1.0" encoding="utf-8"?>
<formControlPr xmlns="http://schemas.microsoft.com/office/spreadsheetml/2009/9/main" objectType="CheckBox" fmlaLink="Task_Data!$AK$11" lockText="1" noThreeD="1"/>
</file>

<file path=xl/ctrlProps/ctrlProp309.xml><?xml version="1.0" encoding="utf-8"?>
<formControlPr xmlns="http://schemas.microsoft.com/office/spreadsheetml/2009/9/main" objectType="CheckBox" fmlaLink="Task_Data!$AL$11" lockText="1" noThreeD="1"/>
</file>

<file path=xl/ctrlProps/ctrlProp310.xml><?xml version="1.0" encoding="utf-8"?>
<formControlPr xmlns="http://schemas.microsoft.com/office/spreadsheetml/2009/9/main" objectType="CheckBox" fmlaLink="Task_Data!$H$12" lockText="1" noThreeD="1"/>
</file>

<file path=xl/ctrlProps/ctrlProp311.xml><?xml version="1.0" encoding="utf-8"?>
<formControlPr xmlns="http://schemas.microsoft.com/office/spreadsheetml/2009/9/main" objectType="CheckBox" fmlaLink="Task_Data!$I$12" lockText="1" noThreeD="1"/>
</file>

<file path=xl/ctrlProps/ctrlProp312.xml><?xml version="1.0" encoding="utf-8"?>
<formControlPr xmlns="http://schemas.microsoft.com/office/spreadsheetml/2009/9/main" objectType="CheckBox" fmlaLink="Task_Data!$J$12" lockText="1" noThreeD="1"/>
</file>

<file path=xl/ctrlProps/ctrlProp313.xml><?xml version="1.0" encoding="utf-8"?>
<formControlPr xmlns="http://schemas.microsoft.com/office/spreadsheetml/2009/9/main" objectType="CheckBox" fmlaLink="Task_Data!$K$12" lockText="1" noThreeD="1"/>
</file>

<file path=xl/ctrlProps/ctrlProp314.xml><?xml version="1.0" encoding="utf-8"?>
<formControlPr xmlns="http://schemas.microsoft.com/office/spreadsheetml/2009/9/main" objectType="CheckBox" fmlaLink="Task_Data!$L$12" lockText="1" noThreeD="1"/>
</file>

<file path=xl/ctrlProps/ctrlProp315.xml><?xml version="1.0" encoding="utf-8"?>
<formControlPr xmlns="http://schemas.microsoft.com/office/spreadsheetml/2009/9/main" objectType="CheckBox" fmlaLink="Task_Data!$M$12" lockText="1" noThreeD="1"/>
</file>

<file path=xl/ctrlProps/ctrlProp316.xml><?xml version="1.0" encoding="utf-8"?>
<formControlPr xmlns="http://schemas.microsoft.com/office/spreadsheetml/2009/9/main" objectType="CheckBox" fmlaLink="Task_Data!$N$12" lockText="1" noThreeD="1"/>
</file>

<file path=xl/ctrlProps/ctrlProp317.xml><?xml version="1.0" encoding="utf-8"?>
<formControlPr xmlns="http://schemas.microsoft.com/office/spreadsheetml/2009/9/main" objectType="CheckBox" fmlaLink="Task_Data!$O$12" lockText="1" noThreeD="1"/>
</file>

<file path=xl/ctrlProps/ctrlProp318.xml><?xml version="1.0" encoding="utf-8"?>
<formControlPr xmlns="http://schemas.microsoft.com/office/spreadsheetml/2009/9/main" objectType="CheckBox" fmlaLink="Task_Data!$P$12" lockText="1" noThreeD="1"/>
</file>

<file path=xl/ctrlProps/ctrlProp319.xml><?xml version="1.0" encoding="utf-8"?>
<formControlPr xmlns="http://schemas.microsoft.com/office/spreadsheetml/2009/9/main" objectType="CheckBox" fmlaLink="Task_Data!$Q$12" lockText="1" noThreeD="1"/>
</file>

<file path=xl/ctrlProps/ctrlProp320.xml><?xml version="1.0" encoding="utf-8"?>
<formControlPr xmlns="http://schemas.microsoft.com/office/spreadsheetml/2009/9/main" objectType="CheckBox" fmlaLink="Task_Data!$R$12" lockText="1" noThreeD="1"/>
</file>

<file path=xl/ctrlProps/ctrlProp321.xml><?xml version="1.0" encoding="utf-8"?>
<formControlPr xmlns="http://schemas.microsoft.com/office/spreadsheetml/2009/9/main" objectType="CheckBox" fmlaLink="Task_Data!$S$12" lockText="1" noThreeD="1"/>
</file>

<file path=xl/ctrlProps/ctrlProp322.xml><?xml version="1.0" encoding="utf-8"?>
<formControlPr xmlns="http://schemas.microsoft.com/office/spreadsheetml/2009/9/main" objectType="CheckBox" fmlaLink="Task_Data!$T$12" lockText="1" noThreeD="1"/>
</file>

<file path=xl/ctrlProps/ctrlProp323.xml><?xml version="1.0" encoding="utf-8"?>
<formControlPr xmlns="http://schemas.microsoft.com/office/spreadsheetml/2009/9/main" objectType="CheckBox" fmlaLink="Task_Data!$U$12" lockText="1" noThreeD="1"/>
</file>

<file path=xl/ctrlProps/ctrlProp324.xml><?xml version="1.0" encoding="utf-8"?>
<formControlPr xmlns="http://schemas.microsoft.com/office/spreadsheetml/2009/9/main" objectType="CheckBox" fmlaLink="Task_Data!$V$12" lockText="1" noThreeD="1"/>
</file>

<file path=xl/ctrlProps/ctrlProp325.xml><?xml version="1.0" encoding="utf-8"?>
<formControlPr xmlns="http://schemas.microsoft.com/office/spreadsheetml/2009/9/main" objectType="CheckBox" fmlaLink="Task_Data!$W$12" lockText="1" noThreeD="1"/>
</file>

<file path=xl/ctrlProps/ctrlProp326.xml><?xml version="1.0" encoding="utf-8"?>
<formControlPr xmlns="http://schemas.microsoft.com/office/spreadsheetml/2009/9/main" objectType="CheckBox" fmlaLink="Task_Data!$X$12" lockText="1" noThreeD="1"/>
</file>

<file path=xl/ctrlProps/ctrlProp327.xml><?xml version="1.0" encoding="utf-8"?>
<formControlPr xmlns="http://schemas.microsoft.com/office/spreadsheetml/2009/9/main" objectType="CheckBox" fmlaLink="Task_Data!$Y$12" lockText="1" noThreeD="1"/>
</file>

<file path=xl/ctrlProps/ctrlProp328.xml><?xml version="1.0" encoding="utf-8"?>
<formControlPr xmlns="http://schemas.microsoft.com/office/spreadsheetml/2009/9/main" objectType="CheckBox" fmlaLink="Task_Data!$Z$12" lockText="1" noThreeD="1"/>
</file>

<file path=xl/ctrlProps/ctrlProp329.xml><?xml version="1.0" encoding="utf-8"?>
<formControlPr xmlns="http://schemas.microsoft.com/office/spreadsheetml/2009/9/main" objectType="CheckBox" fmlaLink="Task_Data!$AA$12" lockText="1" noThreeD="1"/>
</file>

<file path=xl/ctrlProps/ctrlProp330.xml><?xml version="1.0" encoding="utf-8"?>
<formControlPr xmlns="http://schemas.microsoft.com/office/spreadsheetml/2009/9/main" objectType="CheckBox" fmlaLink="Task_Data!$AB$12" lockText="1" noThreeD="1"/>
</file>

<file path=xl/ctrlProps/ctrlProp331.xml><?xml version="1.0" encoding="utf-8"?>
<formControlPr xmlns="http://schemas.microsoft.com/office/spreadsheetml/2009/9/main" objectType="CheckBox" fmlaLink="Task_Data!$AC$12" lockText="1" noThreeD="1"/>
</file>

<file path=xl/ctrlProps/ctrlProp332.xml><?xml version="1.0" encoding="utf-8"?>
<formControlPr xmlns="http://schemas.microsoft.com/office/spreadsheetml/2009/9/main" objectType="CheckBox" fmlaLink="Task_Data!$AD$12" lockText="1" noThreeD="1"/>
</file>

<file path=xl/ctrlProps/ctrlProp333.xml><?xml version="1.0" encoding="utf-8"?>
<formControlPr xmlns="http://schemas.microsoft.com/office/spreadsheetml/2009/9/main" objectType="CheckBox" fmlaLink="Task_Data!$AE$12" lockText="1" noThreeD="1"/>
</file>

<file path=xl/ctrlProps/ctrlProp334.xml><?xml version="1.0" encoding="utf-8"?>
<formControlPr xmlns="http://schemas.microsoft.com/office/spreadsheetml/2009/9/main" objectType="CheckBox" fmlaLink="Task_Data!$AF$12" lockText="1" noThreeD="1"/>
</file>

<file path=xl/ctrlProps/ctrlProp335.xml><?xml version="1.0" encoding="utf-8"?>
<formControlPr xmlns="http://schemas.microsoft.com/office/spreadsheetml/2009/9/main" objectType="CheckBox" fmlaLink="Task_Data!$AG$12" lockText="1" noThreeD="1"/>
</file>

<file path=xl/ctrlProps/ctrlProp336.xml><?xml version="1.0" encoding="utf-8"?>
<formControlPr xmlns="http://schemas.microsoft.com/office/spreadsheetml/2009/9/main" objectType="CheckBox" fmlaLink="Task_Data!$AH$12" lockText="1" noThreeD="1"/>
</file>

<file path=xl/ctrlProps/ctrlProp337.xml><?xml version="1.0" encoding="utf-8"?>
<formControlPr xmlns="http://schemas.microsoft.com/office/spreadsheetml/2009/9/main" objectType="CheckBox" fmlaLink="Task_Data!$AI$12" lockText="1" noThreeD="1"/>
</file>

<file path=xl/ctrlProps/ctrlProp338.xml><?xml version="1.0" encoding="utf-8"?>
<formControlPr xmlns="http://schemas.microsoft.com/office/spreadsheetml/2009/9/main" objectType="CheckBox" fmlaLink="Task_Data!$AJ$12" lockText="1" noThreeD="1"/>
</file>

<file path=xl/ctrlProps/ctrlProp339.xml><?xml version="1.0" encoding="utf-8"?>
<formControlPr xmlns="http://schemas.microsoft.com/office/spreadsheetml/2009/9/main" objectType="CheckBox" fmlaLink="Task_Data!$AK$12" lockText="1" noThreeD="1"/>
</file>

<file path=xl/ctrlProps/ctrlProp340.xml><?xml version="1.0" encoding="utf-8"?>
<formControlPr xmlns="http://schemas.microsoft.com/office/spreadsheetml/2009/9/main" objectType="CheckBox" fmlaLink="Task_Data!$AL$12" lockText="1" noThreeD="1"/>
</file>

<file path=xl/ctrlProps/ctrlProp341.xml><?xml version="1.0" encoding="utf-8"?>
<formControlPr xmlns="http://schemas.microsoft.com/office/spreadsheetml/2009/9/main" objectType="CheckBox" fmlaLink="Task_Data!$H$13" lockText="1" noThreeD="1"/>
</file>

<file path=xl/ctrlProps/ctrlProp342.xml><?xml version="1.0" encoding="utf-8"?>
<formControlPr xmlns="http://schemas.microsoft.com/office/spreadsheetml/2009/9/main" objectType="CheckBox" fmlaLink="Task_Data!$I$13" lockText="1" noThreeD="1"/>
</file>

<file path=xl/ctrlProps/ctrlProp343.xml><?xml version="1.0" encoding="utf-8"?>
<formControlPr xmlns="http://schemas.microsoft.com/office/spreadsheetml/2009/9/main" objectType="CheckBox" fmlaLink="Task_Data!$J$13" lockText="1" noThreeD="1"/>
</file>

<file path=xl/ctrlProps/ctrlProp344.xml><?xml version="1.0" encoding="utf-8"?>
<formControlPr xmlns="http://schemas.microsoft.com/office/spreadsheetml/2009/9/main" objectType="CheckBox" fmlaLink="Task_Data!$K$13" lockText="1" noThreeD="1"/>
</file>

<file path=xl/ctrlProps/ctrlProp345.xml><?xml version="1.0" encoding="utf-8"?>
<formControlPr xmlns="http://schemas.microsoft.com/office/spreadsheetml/2009/9/main" objectType="CheckBox" fmlaLink="Task_Data!$L$13" lockText="1" noThreeD="1"/>
</file>

<file path=xl/ctrlProps/ctrlProp346.xml><?xml version="1.0" encoding="utf-8"?>
<formControlPr xmlns="http://schemas.microsoft.com/office/spreadsheetml/2009/9/main" objectType="CheckBox" fmlaLink="Task_Data!$M$13" lockText="1" noThreeD="1"/>
</file>

<file path=xl/ctrlProps/ctrlProp347.xml><?xml version="1.0" encoding="utf-8"?>
<formControlPr xmlns="http://schemas.microsoft.com/office/spreadsheetml/2009/9/main" objectType="CheckBox" fmlaLink="Task_Data!$N$13" lockText="1" noThreeD="1"/>
</file>

<file path=xl/ctrlProps/ctrlProp348.xml><?xml version="1.0" encoding="utf-8"?>
<formControlPr xmlns="http://schemas.microsoft.com/office/spreadsheetml/2009/9/main" objectType="CheckBox" fmlaLink="Task_Data!$O$13" lockText="1" noThreeD="1"/>
</file>

<file path=xl/ctrlProps/ctrlProp349.xml><?xml version="1.0" encoding="utf-8"?>
<formControlPr xmlns="http://schemas.microsoft.com/office/spreadsheetml/2009/9/main" objectType="CheckBox" fmlaLink="Task_Data!$P$13" lockText="1" noThreeD="1"/>
</file>

<file path=xl/ctrlProps/ctrlProp350.xml><?xml version="1.0" encoding="utf-8"?>
<formControlPr xmlns="http://schemas.microsoft.com/office/spreadsheetml/2009/9/main" objectType="CheckBox" fmlaLink="Task_Data!$Q$13" lockText="1" noThreeD="1"/>
</file>

<file path=xl/ctrlProps/ctrlProp351.xml><?xml version="1.0" encoding="utf-8"?>
<formControlPr xmlns="http://schemas.microsoft.com/office/spreadsheetml/2009/9/main" objectType="CheckBox" fmlaLink="Task_Data!$R$13" lockText="1" noThreeD="1"/>
</file>

<file path=xl/ctrlProps/ctrlProp352.xml><?xml version="1.0" encoding="utf-8"?>
<formControlPr xmlns="http://schemas.microsoft.com/office/spreadsheetml/2009/9/main" objectType="CheckBox" fmlaLink="Task_Data!$S$13" lockText="1" noThreeD="1"/>
</file>

<file path=xl/ctrlProps/ctrlProp353.xml><?xml version="1.0" encoding="utf-8"?>
<formControlPr xmlns="http://schemas.microsoft.com/office/spreadsheetml/2009/9/main" objectType="CheckBox" fmlaLink="Task_Data!$T$13" lockText="1" noThreeD="1"/>
</file>

<file path=xl/ctrlProps/ctrlProp354.xml><?xml version="1.0" encoding="utf-8"?>
<formControlPr xmlns="http://schemas.microsoft.com/office/spreadsheetml/2009/9/main" objectType="CheckBox" fmlaLink="Task_Data!$U$13" lockText="1" noThreeD="1"/>
</file>

<file path=xl/ctrlProps/ctrlProp355.xml><?xml version="1.0" encoding="utf-8"?>
<formControlPr xmlns="http://schemas.microsoft.com/office/spreadsheetml/2009/9/main" objectType="CheckBox" fmlaLink="Task_Data!$V$13" lockText="1" noThreeD="1"/>
</file>

<file path=xl/ctrlProps/ctrlProp356.xml><?xml version="1.0" encoding="utf-8"?>
<formControlPr xmlns="http://schemas.microsoft.com/office/spreadsheetml/2009/9/main" objectType="CheckBox" fmlaLink="Task_Data!$W$13" lockText="1" noThreeD="1"/>
</file>

<file path=xl/ctrlProps/ctrlProp357.xml><?xml version="1.0" encoding="utf-8"?>
<formControlPr xmlns="http://schemas.microsoft.com/office/spreadsheetml/2009/9/main" objectType="CheckBox" fmlaLink="Task_Data!$X$13" lockText="1" noThreeD="1"/>
</file>

<file path=xl/ctrlProps/ctrlProp358.xml><?xml version="1.0" encoding="utf-8"?>
<formControlPr xmlns="http://schemas.microsoft.com/office/spreadsheetml/2009/9/main" objectType="CheckBox" fmlaLink="Task_Data!$Y$13" lockText="1" noThreeD="1"/>
</file>

<file path=xl/ctrlProps/ctrlProp359.xml><?xml version="1.0" encoding="utf-8"?>
<formControlPr xmlns="http://schemas.microsoft.com/office/spreadsheetml/2009/9/main" objectType="CheckBox" fmlaLink="Task_Data!$Z$13" lockText="1" noThreeD="1"/>
</file>

<file path=xl/ctrlProps/ctrlProp360.xml><?xml version="1.0" encoding="utf-8"?>
<formControlPr xmlns="http://schemas.microsoft.com/office/spreadsheetml/2009/9/main" objectType="CheckBox" fmlaLink="Task_Data!$AA$13" lockText="1" noThreeD="1"/>
</file>

<file path=xl/ctrlProps/ctrlProp361.xml><?xml version="1.0" encoding="utf-8"?>
<formControlPr xmlns="http://schemas.microsoft.com/office/spreadsheetml/2009/9/main" objectType="CheckBox" fmlaLink="Task_Data!$AB$13" lockText="1" noThreeD="1"/>
</file>

<file path=xl/ctrlProps/ctrlProp362.xml><?xml version="1.0" encoding="utf-8"?>
<formControlPr xmlns="http://schemas.microsoft.com/office/spreadsheetml/2009/9/main" objectType="CheckBox" fmlaLink="Task_Data!$AC$13" lockText="1" noThreeD="1"/>
</file>

<file path=xl/ctrlProps/ctrlProp363.xml><?xml version="1.0" encoding="utf-8"?>
<formControlPr xmlns="http://schemas.microsoft.com/office/spreadsheetml/2009/9/main" objectType="CheckBox" fmlaLink="Task_Data!$AD$13" lockText="1" noThreeD="1"/>
</file>

<file path=xl/ctrlProps/ctrlProp364.xml><?xml version="1.0" encoding="utf-8"?>
<formControlPr xmlns="http://schemas.microsoft.com/office/spreadsheetml/2009/9/main" objectType="CheckBox" fmlaLink="Task_Data!$AE$13" lockText="1" noThreeD="1"/>
</file>

<file path=xl/ctrlProps/ctrlProp365.xml><?xml version="1.0" encoding="utf-8"?>
<formControlPr xmlns="http://schemas.microsoft.com/office/spreadsheetml/2009/9/main" objectType="CheckBox" fmlaLink="Task_Data!$AF$13" lockText="1" noThreeD="1"/>
</file>

<file path=xl/ctrlProps/ctrlProp366.xml><?xml version="1.0" encoding="utf-8"?>
<formControlPr xmlns="http://schemas.microsoft.com/office/spreadsheetml/2009/9/main" objectType="CheckBox" fmlaLink="Task_Data!$AG$13" lockText="1" noThreeD="1"/>
</file>

<file path=xl/ctrlProps/ctrlProp367.xml><?xml version="1.0" encoding="utf-8"?>
<formControlPr xmlns="http://schemas.microsoft.com/office/spreadsheetml/2009/9/main" objectType="CheckBox" fmlaLink="Task_Data!$AH$13" lockText="1" noThreeD="1"/>
</file>

<file path=xl/ctrlProps/ctrlProp368.xml><?xml version="1.0" encoding="utf-8"?>
<formControlPr xmlns="http://schemas.microsoft.com/office/spreadsheetml/2009/9/main" objectType="CheckBox" fmlaLink="Task_Data!$AI$13" lockText="1" noThreeD="1"/>
</file>

<file path=xl/ctrlProps/ctrlProp369.xml><?xml version="1.0" encoding="utf-8"?>
<formControlPr xmlns="http://schemas.microsoft.com/office/spreadsheetml/2009/9/main" objectType="CheckBox" fmlaLink="Task_Data!$AJ$13" lockText="1" noThreeD="1"/>
</file>

<file path=xl/ctrlProps/ctrlProp370.xml><?xml version="1.0" encoding="utf-8"?>
<formControlPr xmlns="http://schemas.microsoft.com/office/spreadsheetml/2009/9/main" objectType="CheckBox" fmlaLink="Task_Data!$AK$13" lockText="1" noThreeD="1"/>
</file>

<file path=xl/ctrlProps/ctrlProp371.xml><?xml version="1.0" encoding="utf-8"?>
<formControlPr xmlns="http://schemas.microsoft.com/office/spreadsheetml/2009/9/main" objectType="CheckBox" fmlaLink="Task_Data!$AL$13" lockText="1" noThreeD="1"/>
</file>

<file path=xl/ctrlProps/ctrlProp372.xml><?xml version="1.0" encoding="utf-8"?>
<formControlPr xmlns="http://schemas.microsoft.com/office/spreadsheetml/2009/9/main" objectType="CheckBox" fmlaLink="Task_Data!$H$14" lockText="1" noThreeD="1"/>
</file>

<file path=xl/ctrlProps/ctrlProp373.xml><?xml version="1.0" encoding="utf-8"?>
<formControlPr xmlns="http://schemas.microsoft.com/office/spreadsheetml/2009/9/main" objectType="CheckBox" fmlaLink="Task_Data!$I$14" lockText="1" noThreeD="1"/>
</file>

<file path=xl/ctrlProps/ctrlProp374.xml><?xml version="1.0" encoding="utf-8"?>
<formControlPr xmlns="http://schemas.microsoft.com/office/spreadsheetml/2009/9/main" objectType="CheckBox" fmlaLink="Task_Data!$J$14" lockText="1" noThreeD="1"/>
</file>

<file path=xl/ctrlProps/ctrlProp375.xml><?xml version="1.0" encoding="utf-8"?>
<formControlPr xmlns="http://schemas.microsoft.com/office/spreadsheetml/2009/9/main" objectType="CheckBox" fmlaLink="Task_Data!$K$14" lockText="1" noThreeD="1"/>
</file>

<file path=xl/ctrlProps/ctrlProp376.xml><?xml version="1.0" encoding="utf-8"?>
<formControlPr xmlns="http://schemas.microsoft.com/office/spreadsheetml/2009/9/main" objectType="CheckBox" fmlaLink="Task_Data!$L$14" lockText="1" noThreeD="1"/>
</file>

<file path=xl/ctrlProps/ctrlProp377.xml><?xml version="1.0" encoding="utf-8"?>
<formControlPr xmlns="http://schemas.microsoft.com/office/spreadsheetml/2009/9/main" objectType="CheckBox" fmlaLink="Task_Data!$M$14" lockText="1" noThreeD="1"/>
</file>

<file path=xl/ctrlProps/ctrlProp378.xml><?xml version="1.0" encoding="utf-8"?>
<formControlPr xmlns="http://schemas.microsoft.com/office/spreadsheetml/2009/9/main" objectType="CheckBox" fmlaLink="Task_Data!$N$14" lockText="1" noThreeD="1"/>
</file>

<file path=xl/ctrlProps/ctrlProp379.xml><?xml version="1.0" encoding="utf-8"?>
<formControlPr xmlns="http://schemas.microsoft.com/office/spreadsheetml/2009/9/main" objectType="CheckBox" fmlaLink="Task_Data!$O$14" lockText="1" noThreeD="1"/>
</file>

<file path=xl/ctrlProps/ctrlProp380.xml><?xml version="1.0" encoding="utf-8"?>
<formControlPr xmlns="http://schemas.microsoft.com/office/spreadsheetml/2009/9/main" objectType="CheckBox" fmlaLink="Task_Data!$P$14" lockText="1" noThreeD="1"/>
</file>

<file path=xl/ctrlProps/ctrlProp381.xml><?xml version="1.0" encoding="utf-8"?>
<formControlPr xmlns="http://schemas.microsoft.com/office/spreadsheetml/2009/9/main" objectType="CheckBox" fmlaLink="Task_Data!$Q$14" lockText="1" noThreeD="1"/>
</file>

<file path=xl/ctrlProps/ctrlProp382.xml><?xml version="1.0" encoding="utf-8"?>
<formControlPr xmlns="http://schemas.microsoft.com/office/spreadsheetml/2009/9/main" objectType="CheckBox" fmlaLink="Task_Data!$R$14" lockText="1" noThreeD="1"/>
</file>

<file path=xl/ctrlProps/ctrlProp383.xml><?xml version="1.0" encoding="utf-8"?>
<formControlPr xmlns="http://schemas.microsoft.com/office/spreadsheetml/2009/9/main" objectType="CheckBox" fmlaLink="Task_Data!$S$14" lockText="1" noThreeD="1"/>
</file>

<file path=xl/ctrlProps/ctrlProp384.xml><?xml version="1.0" encoding="utf-8"?>
<formControlPr xmlns="http://schemas.microsoft.com/office/spreadsheetml/2009/9/main" objectType="CheckBox" fmlaLink="Task_Data!$T$14" lockText="1" noThreeD="1"/>
</file>

<file path=xl/ctrlProps/ctrlProp385.xml><?xml version="1.0" encoding="utf-8"?>
<formControlPr xmlns="http://schemas.microsoft.com/office/spreadsheetml/2009/9/main" objectType="CheckBox" fmlaLink="Task_Data!$U$14" lockText="1" noThreeD="1"/>
</file>

<file path=xl/ctrlProps/ctrlProp386.xml><?xml version="1.0" encoding="utf-8"?>
<formControlPr xmlns="http://schemas.microsoft.com/office/spreadsheetml/2009/9/main" objectType="CheckBox" fmlaLink="Task_Data!$V$14" lockText="1" noThreeD="1"/>
</file>

<file path=xl/ctrlProps/ctrlProp387.xml><?xml version="1.0" encoding="utf-8"?>
<formControlPr xmlns="http://schemas.microsoft.com/office/spreadsheetml/2009/9/main" objectType="CheckBox" fmlaLink="Task_Data!$W$14" lockText="1" noThreeD="1"/>
</file>

<file path=xl/ctrlProps/ctrlProp388.xml><?xml version="1.0" encoding="utf-8"?>
<formControlPr xmlns="http://schemas.microsoft.com/office/spreadsheetml/2009/9/main" objectType="CheckBox" fmlaLink="Task_Data!$X$14" lockText="1" noThreeD="1"/>
</file>

<file path=xl/ctrlProps/ctrlProp389.xml><?xml version="1.0" encoding="utf-8"?>
<formControlPr xmlns="http://schemas.microsoft.com/office/spreadsheetml/2009/9/main" objectType="CheckBox" fmlaLink="Task_Data!$Y$14" lockText="1" noThreeD="1"/>
</file>

<file path=xl/ctrlProps/ctrlProp390.xml><?xml version="1.0" encoding="utf-8"?>
<formControlPr xmlns="http://schemas.microsoft.com/office/spreadsheetml/2009/9/main" objectType="CheckBox" fmlaLink="Task_Data!$Z$14" lockText="1" noThreeD="1"/>
</file>

<file path=xl/ctrlProps/ctrlProp391.xml><?xml version="1.0" encoding="utf-8"?>
<formControlPr xmlns="http://schemas.microsoft.com/office/spreadsheetml/2009/9/main" objectType="CheckBox" fmlaLink="Task_Data!$AA$14" lockText="1" noThreeD="1"/>
</file>

<file path=xl/ctrlProps/ctrlProp392.xml><?xml version="1.0" encoding="utf-8"?>
<formControlPr xmlns="http://schemas.microsoft.com/office/spreadsheetml/2009/9/main" objectType="CheckBox" fmlaLink="Task_Data!$AB$14" lockText="1" noThreeD="1"/>
</file>

<file path=xl/ctrlProps/ctrlProp393.xml><?xml version="1.0" encoding="utf-8"?>
<formControlPr xmlns="http://schemas.microsoft.com/office/spreadsheetml/2009/9/main" objectType="CheckBox" fmlaLink="Task_Data!$AC$14" lockText="1" noThreeD="1"/>
</file>

<file path=xl/ctrlProps/ctrlProp394.xml><?xml version="1.0" encoding="utf-8"?>
<formControlPr xmlns="http://schemas.microsoft.com/office/spreadsheetml/2009/9/main" objectType="CheckBox" fmlaLink="Task_Data!$AD$14" lockText="1" noThreeD="1"/>
</file>

<file path=xl/ctrlProps/ctrlProp395.xml><?xml version="1.0" encoding="utf-8"?>
<formControlPr xmlns="http://schemas.microsoft.com/office/spreadsheetml/2009/9/main" objectType="CheckBox" fmlaLink="Task_Data!$AE$14" lockText="1" noThreeD="1"/>
</file>

<file path=xl/ctrlProps/ctrlProp396.xml><?xml version="1.0" encoding="utf-8"?>
<formControlPr xmlns="http://schemas.microsoft.com/office/spreadsheetml/2009/9/main" objectType="CheckBox" fmlaLink="Task_Data!$AF$14" lockText="1" noThreeD="1"/>
</file>

<file path=xl/ctrlProps/ctrlProp397.xml><?xml version="1.0" encoding="utf-8"?>
<formControlPr xmlns="http://schemas.microsoft.com/office/spreadsheetml/2009/9/main" objectType="CheckBox" fmlaLink="Task_Data!$AG$14" lockText="1" noThreeD="1"/>
</file>

<file path=xl/ctrlProps/ctrlProp398.xml><?xml version="1.0" encoding="utf-8"?>
<formControlPr xmlns="http://schemas.microsoft.com/office/spreadsheetml/2009/9/main" objectType="CheckBox" fmlaLink="Task_Data!$AH$14" lockText="1" noThreeD="1"/>
</file>

<file path=xl/ctrlProps/ctrlProp399.xml><?xml version="1.0" encoding="utf-8"?>
<formControlPr xmlns="http://schemas.microsoft.com/office/spreadsheetml/2009/9/main" objectType="CheckBox" fmlaLink="Task_Data!$AI$14" lockText="1" noThreeD="1"/>
</file>

<file path=xl/ctrlProps/ctrlProp400.xml><?xml version="1.0" encoding="utf-8"?>
<formControlPr xmlns="http://schemas.microsoft.com/office/spreadsheetml/2009/9/main" objectType="CheckBox" fmlaLink="Task_Data!$AJ$14" lockText="1" noThreeD="1"/>
</file>

<file path=xl/ctrlProps/ctrlProp401.xml><?xml version="1.0" encoding="utf-8"?>
<formControlPr xmlns="http://schemas.microsoft.com/office/spreadsheetml/2009/9/main" objectType="CheckBox" fmlaLink="Task_Data!$AK$14" lockText="1" noThreeD="1"/>
</file>

<file path=xl/ctrlProps/ctrlProp402.xml><?xml version="1.0" encoding="utf-8"?>
<formControlPr xmlns="http://schemas.microsoft.com/office/spreadsheetml/2009/9/main" objectType="CheckBox" fmlaLink="Task_Data!$AL$14" lockText="1" noThreeD="1"/>
</file>

<file path=xl/ctrlProps/ctrlProp403.xml><?xml version="1.0" encoding="utf-8"?>
<formControlPr xmlns="http://schemas.microsoft.com/office/spreadsheetml/2009/9/main" objectType="CheckBox" fmlaLink="Task_Data!$H$15" lockText="1" noThreeD="1"/>
</file>

<file path=xl/ctrlProps/ctrlProp404.xml><?xml version="1.0" encoding="utf-8"?>
<formControlPr xmlns="http://schemas.microsoft.com/office/spreadsheetml/2009/9/main" objectType="CheckBox" fmlaLink="Task_Data!$I$15" lockText="1" noThreeD="1"/>
</file>

<file path=xl/ctrlProps/ctrlProp405.xml><?xml version="1.0" encoding="utf-8"?>
<formControlPr xmlns="http://schemas.microsoft.com/office/spreadsheetml/2009/9/main" objectType="CheckBox" fmlaLink="Task_Data!$J$15" lockText="1" noThreeD="1"/>
</file>

<file path=xl/ctrlProps/ctrlProp406.xml><?xml version="1.0" encoding="utf-8"?>
<formControlPr xmlns="http://schemas.microsoft.com/office/spreadsheetml/2009/9/main" objectType="CheckBox" fmlaLink="Task_Data!$K$15" lockText="1" noThreeD="1"/>
</file>

<file path=xl/ctrlProps/ctrlProp407.xml><?xml version="1.0" encoding="utf-8"?>
<formControlPr xmlns="http://schemas.microsoft.com/office/spreadsheetml/2009/9/main" objectType="CheckBox" fmlaLink="Task_Data!$L$15" lockText="1" noThreeD="1"/>
</file>

<file path=xl/ctrlProps/ctrlProp408.xml><?xml version="1.0" encoding="utf-8"?>
<formControlPr xmlns="http://schemas.microsoft.com/office/spreadsheetml/2009/9/main" objectType="CheckBox" fmlaLink="Task_Data!$M$15" lockText="1" noThreeD="1"/>
</file>

<file path=xl/ctrlProps/ctrlProp409.xml><?xml version="1.0" encoding="utf-8"?>
<formControlPr xmlns="http://schemas.microsoft.com/office/spreadsheetml/2009/9/main" objectType="CheckBox" fmlaLink="Task_Data!$N$15" lockText="1" noThreeD="1"/>
</file>

<file path=xl/ctrlProps/ctrlProp410.xml><?xml version="1.0" encoding="utf-8"?>
<formControlPr xmlns="http://schemas.microsoft.com/office/spreadsheetml/2009/9/main" objectType="CheckBox" fmlaLink="Task_Data!$O$15" lockText="1" noThreeD="1"/>
</file>

<file path=xl/ctrlProps/ctrlProp411.xml><?xml version="1.0" encoding="utf-8"?>
<formControlPr xmlns="http://schemas.microsoft.com/office/spreadsheetml/2009/9/main" objectType="CheckBox" fmlaLink="Task_Data!$P$15" lockText="1" noThreeD="1"/>
</file>

<file path=xl/ctrlProps/ctrlProp412.xml><?xml version="1.0" encoding="utf-8"?>
<formControlPr xmlns="http://schemas.microsoft.com/office/spreadsheetml/2009/9/main" objectType="CheckBox" fmlaLink="Task_Data!$Q$15" lockText="1" noThreeD="1"/>
</file>

<file path=xl/ctrlProps/ctrlProp413.xml><?xml version="1.0" encoding="utf-8"?>
<formControlPr xmlns="http://schemas.microsoft.com/office/spreadsheetml/2009/9/main" objectType="CheckBox" fmlaLink="Task_Data!$R$15" lockText="1" noThreeD="1"/>
</file>

<file path=xl/ctrlProps/ctrlProp414.xml><?xml version="1.0" encoding="utf-8"?>
<formControlPr xmlns="http://schemas.microsoft.com/office/spreadsheetml/2009/9/main" objectType="CheckBox" fmlaLink="Task_Data!$S$15" lockText="1" noThreeD="1"/>
</file>

<file path=xl/ctrlProps/ctrlProp415.xml><?xml version="1.0" encoding="utf-8"?>
<formControlPr xmlns="http://schemas.microsoft.com/office/spreadsheetml/2009/9/main" objectType="CheckBox" fmlaLink="Task_Data!$T$15" lockText="1" noThreeD="1"/>
</file>

<file path=xl/ctrlProps/ctrlProp416.xml><?xml version="1.0" encoding="utf-8"?>
<formControlPr xmlns="http://schemas.microsoft.com/office/spreadsheetml/2009/9/main" objectType="CheckBox" fmlaLink="Task_Data!$U$15" lockText="1" noThreeD="1"/>
</file>

<file path=xl/ctrlProps/ctrlProp417.xml><?xml version="1.0" encoding="utf-8"?>
<formControlPr xmlns="http://schemas.microsoft.com/office/spreadsheetml/2009/9/main" objectType="CheckBox" fmlaLink="Task_Data!$V$15" lockText="1" noThreeD="1"/>
</file>

<file path=xl/ctrlProps/ctrlProp418.xml><?xml version="1.0" encoding="utf-8"?>
<formControlPr xmlns="http://schemas.microsoft.com/office/spreadsheetml/2009/9/main" objectType="CheckBox" fmlaLink="Task_Data!$W$15" lockText="1" noThreeD="1"/>
</file>

<file path=xl/ctrlProps/ctrlProp419.xml><?xml version="1.0" encoding="utf-8"?>
<formControlPr xmlns="http://schemas.microsoft.com/office/spreadsheetml/2009/9/main" objectType="CheckBox" fmlaLink="Task_Data!$X$15" lockText="1" noThreeD="1"/>
</file>

<file path=xl/ctrlProps/ctrlProp420.xml><?xml version="1.0" encoding="utf-8"?>
<formControlPr xmlns="http://schemas.microsoft.com/office/spreadsheetml/2009/9/main" objectType="CheckBox" fmlaLink="Task_Data!$Y$15" lockText="1" noThreeD="1"/>
</file>

<file path=xl/ctrlProps/ctrlProp421.xml><?xml version="1.0" encoding="utf-8"?>
<formControlPr xmlns="http://schemas.microsoft.com/office/spreadsheetml/2009/9/main" objectType="CheckBox" fmlaLink="Task_Data!$Z$15" lockText="1" noThreeD="1"/>
</file>

<file path=xl/ctrlProps/ctrlProp422.xml><?xml version="1.0" encoding="utf-8"?>
<formControlPr xmlns="http://schemas.microsoft.com/office/spreadsheetml/2009/9/main" objectType="CheckBox" fmlaLink="Task_Data!$AA$15" lockText="1" noThreeD="1"/>
</file>

<file path=xl/ctrlProps/ctrlProp423.xml><?xml version="1.0" encoding="utf-8"?>
<formControlPr xmlns="http://schemas.microsoft.com/office/spreadsheetml/2009/9/main" objectType="CheckBox" fmlaLink="Task_Data!$AB$15" lockText="1" noThreeD="1"/>
</file>

<file path=xl/ctrlProps/ctrlProp424.xml><?xml version="1.0" encoding="utf-8"?>
<formControlPr xmlns="http://schemas.microsoft.com/office/spreadsheetml/2009/9/main" objectType="CheckBox" fmlaLink="Task_Data!$AC$15" lockText="1" noThreeD="1"/>
</file>

<file path=xl/ctrlProps/ctrlProp425.xml><?xml version="1.0" encoding="utf-8"?>
<formControlPr xmlns="http://schemas.microsoft.com/office/spreadsheetml/2009/9/main" objectType="CheckBox" fmlaLink="Task_Data!$AD$15" lockText="1" noThreeD="1"/>
</file>

<file path=xl/ctrlProps/ctrlProp426.xml><?xml version="1.0" encoding="utf-8"?>
<formControlPr xmlns="http://schemas.microsoft.com/office/spreadsheetml/2009/9/main" objectType="CheckBox" fmlaLink="Task_Data!$AE$15" lockText="1" noThreeD="1"/>
</file>

<file path=xl/ctrlProps/ctrlProp427.xml><?xml version="1.0" encoding="utf-8"?>
<formControlPr xmlns="http://schemas.microsoft.com/office/spreadsheetml/2009/9/main" objectType="CheckBox" fmlaLink="Task_Data!$AF$15" lockText="1" noThreeD="1"/>
</file>

<file path=xl/ctrlProps/ctrlProp428.xml><?xml version="1.0" encoding="utf-8"?>
<formControlPr xmlns="http://schemas.microsoft.com/office/spreadsheetml/2009/9/main" objectType="CheckBox" fmlaLink="Task_Data!$AG$15" lockText="1" noThreeD="1"/>
</file>

<file path=xl/ctrlProps/ctrlProp429.xml><?xml version="1.0" encoding="utf-8"?>
<formControlPr xmlns="http://schemas.microsoft.com/office/spreadsheetml/2009/9/main" objectType="CheckBox" fmlaLink="Task_Data!$AH$15" lockText="1" noThreeD="1"/>
</file>

<file path=xl/ctrlProps/ctrlProp430.xml><?xml version="1.0" encoding="utf-8"?>
<formControlPr xmlns="http://schemas.microsoft.com/office/spreadsheetml/2009/9/main" objectType="CheckBox" fmlaLink="Task_Data!$AI$15" lockText="1" noThreeD="1"/>
</file>

<file path=xl/ctrlProps/ctrlProp431.xml><?xml version="1.0" encoding="utf-8"?>
<formControlPr xmlns="http://schemas.microsoft.com/office/spreadsheetml/2009/9/main" objectType="CheckBox" fmlaLink="Task_Data!$AJ$15" lockText="1" noThreeD="1"/>
</file>

<file path=xl/ctrlProps/ctrlProp432.xml><?xml version="1.0" encoding="utf-8"?>
<formControlPr xmlns="http://schemas.microsoft.com/office/spreadsheetml/2009/9/main" objectType="CheckBox" fmlaLink="Task_Data!$AK$15" lockText="1" noThreeD="1"/>
</file>

<file path=xl/ctrlProps/ctrlProp433.xml><?xml version="1.0" encoding="utf-8"?>
<formControlPr xmlns="http://schemas.microsoft.com/office/spreadsheetml/2009/9/main" objectType="CheckBox" fmlaLink="Task_Data!$AL$15" lockText="1" noThreeD="1"/>
</file>

<file path=xl/ctrlProps/ctrlProp434.xml><?xml version="1.0" encoding="utf-8"?>
<formControlPr xmlns="http://schemas.microsoft.com/office/spreadsheetml/2009/9/main" objectType="CheckBox" fmlaLink="Task_Data!$H$16" lockText="1" noThreeD="1"/>
</file>

<file path=xl/ctrlProps/ctrlProp435.xml><?xml version="1.0" encoding="utf-8"?>
<formControlPr xmlns="http://schemas.microsoft.com/office/spreadsheetml/2009/9/main" objectType="CheckBox" fmlaLink="Task_Data!$I$16" lockText="1" noThreeD="1"/>
</file>

<file path=xl/ctrlProps/ctrlProp436.xml><?xml version="1.0" encoding="utf-8"?>
<formControlPr xmlns="http://schemas.microsoft.com/office/spreadsheetml/2009/9/main" objectType="CheckBox" fmlaLink="Task_Data!$J$16" lockText="1" noThreeD="1"/>
</file>

<file path=xl/ctrlProps/ctrlProp437.xml><?xml version="1.0" encoding="utf-8"?>
<formControlPr xmlns="http://schemas.microsoft.com/office/spreadsheetml/2009/9/main" objectType="CheckBox" fmlaLink="Task_Data!$K$16" lockText="1" noThreeD="1"/>
</file>

<file path=xl/ctrlProps/ctrlProp438.xml><?xml version="1.0" encoding="utf-8"?>
<formControlPr xmlns="http://schemas.microsoft.com/office/spreadsheetml/2009/9/main" objectType="CheckBox" fmlaLink="Task_Data!$L$16" lockText="1" noThreeD="1"/>
</file>

<file path=xl/ctrlProps/ctrlProp439.xml><?xml version="1.0" encoding="utf-8"?>
<formControlPr xmlns="http://schemas.microsoft.com/office/spreadsheetml/2009/9/main" objectType="CheckBox" fmlaLink="Task_Data!$M$16" lockText="1" noThreeD="1"/>
</file>

<file path=xl/ctrlProps/ctrlProp440.xml><?xml version="1.0" encoding="utf-8"?>
<formControlPr xmlns="http://schemas.microsoft.com/office/spreadsheetml/2009/9/main" objectType="CheckBox" fmlaLink="Task_Data!$N$16" lockText="1" noThreeD="1"/>
</file>

<file path=xl/ctrlProps/ctrlProp441.xml><?xml version="1.0" encoding="utf-8"?>
<formControlPr xmlns="http://schemas.microsoft.com/office/spreadsheetml/2009/9/main" objectType="CheckBox" fmlaLink="Task_Data!$O$16" lockText="1" noThreeD="1"/>
</file>

<file path=xl/ctrlProps/ctrlProp442.xml><?xml version="1.0" encoding="utf-8"?>
<formControlPr xmlns="http://schemas.microsoft.com/office/spreadsheetml/2009/9/main" objectType="CheckBox" fmlaLink="Task_Data!$P$16" lockText="1" noThreeD="1"/>
</file>

<file path=xl/ctrlProps/ctrlProp443.xml><?xml version="1.0" encoding="utf-8"?>
<formControlPr xmlns="http://schemas.microsoft.com/office/spreadsheetml/2009/9/main" objectType="CheckBox" fmlaLink="Task_Data!$Q$16" lockText="1" noThreeD="1"/>
</file>

<file path=xl/ctrlProps/ctrlProp444.xml><?xml version="1.0" encoding="utf-8"?>
<formControlPr xmlns="http://schemas.microsoft.com/office/spreadsheetml/2009/9/main" objectType="CheckBox" fmlaLink="Task_Data!$R$16" lockText="1" noThreeD="1"/>
</file>

<file path=xl/ctrlProps/ctrlProp445.xml><?xml version="1.0" encoding="utf-8"?>
<formControlPr xmlns="http://schemas.microsoft.com/office/spreadsheetml/2009/9/main" objectType="CheckBox" fmlaLink="Task_Data!$S$16" lockText="1" noThreeD="1"/>
</file>

<file path=xl/ctrlProps/ctrlProp446.xml><?xml version="1.0" encoding="utf-8"?>
<formControlPr xmlns="http://schemas.microsoft.com/office/spreadsheetml/2009/9/main" objectType="CheckBox" fmlaLink="Task_Data!$T$16" lockText="1" noThreeD="1"/>
</file>

<file path=xl/ctrlProps/ctrlProp447.xml><?xml version="1.0" encoding="utf-8"?>
<formControlPr xmlns="http://schemas.microsoft.com/office/spreadsheetml/2009/9/main" objectType="CheckBox" fmlaLink="Task_Data!$U$16" lockText="1" noThreeD="1"/>
</file>

<file path=xl/ctrlProps/ctrlProp448.xml><?xml version="1.0" encoding="utf-8"?>
<formControlPr xmlns="http://schemas.microsoft.com/office/spreadsheetml/2009/9/main" objectType="CheckBox" fmlaLink="Task_Data!$V$16" lockText="1" noThreeD="1"/>
</file>

<file path=xl/ctrlProps/ctrlProp449.xml><?xml version="1.0" encoding="utf-8"?>
<formControlPr xmlns="http://schemas.microsoft.com/office/spreadsheetml/2009/9/main" objectType="CheckBox" fmlaLink="Task_Data!$W$16" lockText="1" noThreeD="1"/>
</file>

<file path=xl/ctrlProps/ctrlProp450.xml><?xml version="1.0" encoding="utf-8"?>
<formControlPr xmlns="http://schemas.microsoft.com/office/spreadsheetml/2009/9/main" objectType="CheckBox" fmlaLink="Task_Data!$X$16" lockText="1" noThreeD="1"/>
</file>

<file path=xl/ctrlProps/ctrlProp451.xml><?xml version="1.0" encoding="utf-8"?>
<formControlPr xmlns="http://schemas.microsoft.com/office/spreadsheetml/2009/9/main" objectType="CheckBox" fmlaLink="Task_Data!$Y$16" lockText="1" noThreeD="1"/>
</file>

<file path=xl/ctrlProps/ctrlProp452.xml><?xml version="1.0" encoding="utf-8"?>
<formControlPr xmlns="http://schemas.microsoft.com/office/spreadsheetml/2009/9/main" objectType="CheckBox" fmlaLink="Task_Data!$Z$16" lockText="1" noThreeD="1"/>
</file>

<file path=xl/ctrlProps/ctrlProp453.xml><?xml version="1.0" encoding="utf-8"?>
<formControlPr xmlns="http://schemas.microsoft.com/office/spreadsheetml/2009/9/main" objectType="CheckBox" fmlaLink="Task_Data!$AA$16" lockText="1" noThreeD="1"/>
</file>

<file path=xl/ctrlProps/ctrlProp454.xml><?xml version="1.0" encoding="utf-8"?>
<formControlPr xmlns="http://schemas.microsoft.com/office/spreadsheetml/2009/9/main" objectType="CheckBox" fmlaLink="Task_Data!$AB$16" lockText="1" noThreeD="1"/>
</file>

<file path=xl/ctrlProps/ctrlProp455.xml><?xml version="1.0" encoding="utf-8"?>
<formControlPr xmlns="http://schemas.microsoft.com/office/spreadsheetml/2009/9/main" objectType="CheckBox" fmlaLink="Task_Data!$AC$16" lockText="1" noThreeD="1"/>
</file>

<file path=xl/ctrlProps/ctrlProp456.xml><?xml version="1.0" encoding="utf-8"?>
<formControlPr xmlns="http://schemas.microsoft.com/office/spreadsheetml/2009/9/main" objectType="CheckBox" fmlaLink="Task_Data!$AD$16" lockText="1" noThreeD="1"/>
</file>

<file path=xl/ctrlProps/ctrlProp457.xml><?xml version="1.0" encoding="utf-8"?>
<formControlPr xmlns="http://schemas.microsoft.com/office/spreadsheetml/2009/9/main" objectType="CheckBox" fmlaLink="Task_Data!$AE$16" lockText="1" noThreeD="1"/>
</file>

<file path=xl/ctrlProps/ctrlProp458.xml><?xml version="1.0" encoding="utf-8"?>
<formControlPr xmlns="http://schemas.microsoft.com/office/spreadsheetml/2009/9/main" objectType="CheckBox" fmlaLink="Task_Data!$AF$16" lockText="1" noThreeD="1"/>
</file>

<file path=xl/ctrlProps/ctrlProp459.xml><?xml version="1.0" encoding="utf-8"?>
<formControlPr xmlns="http://schemas.microsoft.com/office/spreadsheetml/2009/9/main" objectType="CheckBox" fmlaLink="Task_Data!$AG$16" lockText="1" noThreeD="1"/>
</file>

<file path=xl/ctrlProps/ctrlProp460.xml><?xml version="1.0" encoding="utf-8"?>
<formControlPr xmlns="http://schemas.microsoft.com/office/spreadsheetml/2009/9/main" objectType="CheckBox" fmlaLink="Task_Data!$AH$16" lockText="1" noThreeD="1"/>
</file>

<file path=xl/ctrlProps/ctrlProp461.xml><?xml version="1.0" encoding="utf-8"?>
<formControlPr xmlns="http://schemas.microsoft.com/office/spreadsheetml/2009/9/main" objectType="CheckBox" fmlaLink="Task_Data!$AI$16" lockText="1" noThreeD="1"/>
</file>

<file path=xl/ctrlProps/ctrlProp462.xml><?xml version="1.0" encoding="utf-8"?>
<formControlPr xmlns="http://schemas.microsoft.com/office/spreadsheetml/2009/9/main" objectType="CheckBox" fmlaLink="Task_Data!$AJ$16" lockText="1" noThreeD="1"/>
</file>

<file path=xl/ctrlProps/ctrlProp463.xml><?xml version="1.0" encoding="utf-8"?>
<formControlPr xmlns="http://schemas.microsoft.com/office/spreadsheetml/2009/9/main" objectType="CheckBox" fmlaLink="Task_Data!$AK$16" lockText="1" noThreeD="1"/>
</file>

<file path=xl/ctrlProps/ctrlProp464.xml><?xml version="1.0" encoding="utf-8"?>
<formControlPr xmlns="http://schemas.microsoft.com/office/spreadsheetml/2009/9/main" objectType="CheckBox" fmlaLink="Task_Data!$AL$16" lockText="1" noThreeD="1"/>
</file>

<file path=xl/ctrlProps/ctrlProp465.xml><?xml version="1.0" encoding="utf-8"?>
<formControlPr xmlns="http://schemas.microsoft.com/office/spreadsheetml/2009/9/main" objectType="CheckBox" fmlaLink="Task_Data!$H$17" lockText="1" noThreeD="1"/>
</file>

<file path=xl/ctrlProps/ctrlProp466.xml><?xml version="1.0" encoding="utf-8"?>
<formControlPr xmlns="http://schemas.microsoft.com/office/spreadsheetml/2009/9/main" objectType="CheckBox" fmlaLink="Task_Data!$I$17" lockText="1" noThreeD="1"/>
</file>

<file path=xl/ctrlProps/ctrlProp467.xml><?xml version="1.0" encoding="utf-8"?>
<formControlPr xmlns="http://schemas.microsoft.com/office/spreadsheetml/2009/9/main" objectType="CheckBox" fmlaLink="Task_Data!$J$17" lockText="1" noThreeD="1"/>
</file>

<file path=xl/ctrlProps/ctrlProp468.xml><?xml version="1.0" encoding="utf-8"?>
<formControlPr xmlns="http://schemas.microsoft.com/office/spreadsheetml/2009/9/main" objectType="CheckBox" fmlaLink="Task_Data!$K$17" lockText="1" noThreeD="1"/>
</file>

<file path=xl/ctrlProps/ctrlProp469.xml><?xml version="1.0" encoding="utf-8"?>
<formControlPr xmlns="http://schemas.microsoft.com/office/spreadsheetml/2009/9/main" objectType="CheckBox" fmlaLink="Task_Data!$L$17" lockText="1" noThreeD="1"/>
</file>

<file path=xl/ctrlProps/ctrlProp470.xml><?xml version="1.0" encoding="utf-8"?>
<formControlPr xmlns="http://schemas.microsoft.com/office/spreadsheetml/2009/9/main" objectType="CheckBox" fmlaLink="Task_Data!$M$17" lockText="1" noThreeD="1"/>
</file>

<file path=xl/ctrlProps/ctrlProp471.xml><?xml version="1.0" encoding="utf-8"?>
<formControlPr xmlns="http://schemas.microsoft.com/office/spreadsheetml/2009/9/main" objectType="CheckBox" fmlaLink="Task_Data!$N$17" lockText="1" noThreeD="1"/>
</file>

<file path=xl/ctrlProps/ctrlProp472.xml><?xml version="1.0" encoding="utf-8"?>
<formControlPr xmlns="http://schemas.microsoft.com/office/spreadsheetml/2009/9/main" objectType="CheckBox" fmlaLink="Task_Data!$O$17" lockText="1" noThreeD="1"/>
</file>

<file path=xl/ctrlProps/ctrlProp473.xml><?xml version="1.0" encoding="utf-8"?>
<formControlPr xmlns="http://schemas.microsoft.com/office/spreadsheetml/2009/9/main" objectType="CheckBox" fmlaLink="Task_Data!$P$17" lockText="1" noThreeD="1"/>
</file>

<file path=xl/ctrlProps/ctrlProp474.xml><?xml version="1.0" encoding="utf-8"?>
<formControlPr xmlns="http://schemas.microsoft.com/office/spreadsheetml/2009/9/main" objectType="CheckBox" fmlaLink="Task_Data!$Q$17" lockText="1" noThreeD="1"/>
</file>

<file path=xl/ctrlProps/ctrlProp475.xml><?xml version="1.0" encoding="utf-8"?>
<formControlPr xmlns="http://schemas.microsoft.com/office/spreadsheetml/2009/9/main" objectType="CheckBox" fmlaLink="Task_Data!$R$17" lockText="1" noThreeD="1"/>
</file>

<file path=xl/ctrlProps/ctrlProp476.xml><?xml version="1.0" encoding="utf-8"?>
<formControlPr xmlns="http://schemas.microsoft.com/office/spreadsheetml/2009/9/main" objectType="CheckBox" fmlaLink="Task_Data!$S$17" lockText="1" noThreeD="1"/>
</file>

<file path=xl/ctrlProps/ctrlProp477.xml><?xml version="1.0" encoding="utf-8"?>
<formControlPr xmlns="http://schemas.microsoft.com/office/spreadsheetml/2009/9/main" objectType="CheckBox" fmlaLink="Task_Data!$T$17" lockText="1" noThreeD="1"/>
</file>

<file path=xl/ctrlProps/ctrlProp478.xml><?xml version="1.0" encoding="utf-8"?>
<formControlPr xmlns="http://schemas.microsoft.com/office/spreadsheetml/2009/9/main" objectType="CheckBox" fmlaLink="Task_Data!$U$17" lockText="1" noThreeD="1"/>
</file>

<file path=xl/ctrlProps/ctrlProp479.xml><?xml version="1.0" encoding="utf-8"?>
<formControlPr xmlns="http://schemas.microsoft.com/office/spreadsheetml/2009/9/main" objectType="CheckBox" fmlaLink="Task_Data!$V$17" lockText="1" noThreeD="1"/>
</file>

<file path=xl/ctrlProps/ctrlProp480.xml><?xml version="1.0" encoding="utf-8"?>
<formControlPr xmlns="http://schemas.microsoft.com/office/spreadsheetml/2009/9/main" objectType="CheckBox" fmlaLink="Task_Data!$W$17" lockText="1" noThreeD="1"/>
</file>

<file path=xl/ctrlProps/ctrlProp481.xml><?xml version="1.0" encoding="utf-8"?>
<formControlPr xmlns="http://schemas.microsoft.com/office/spreadsheetml/2009/9/main" objectType="CheckBox" fmlaLink="Task_Data!$X$17" lockText="1" noThreeD="1"/>
</file>

<file path=xl/ctrlProps/ctrlProp482.xml><?xml version="1.0" encoding="utf-8"?>
<formControlPr xmlns="http://schemas.microsoft.com/office/spreadsheetml/2009/9/main" objectType="CheckBox" fmlaLink="Task_Data!$Y$17" lockText="1" noThreeD="1"/>
</file>

<file path=xl/ctrlProps/ctrlProp483.xml><?xml version="1.0" encoding="utf-8"?>
<formControlPr xmlns="http://schemas.microsoft.com/office/spreadsheetml/2009/9/main" objectType="CheckBox" fmlaLink="Task_Data!$Z$17" lockText="1" noThreeD="1"/>
</file>

<file path=xl/ctrlProps/ctrlProp484.xml><?xml version="1.0" encoding="utf-8"?>
<formControlPr xmlns="http://schemas.microsoft.com/office/spreadsheetml/2009/9/main" objectType="CheckBox" fmlaLink="Task_Data!$AA$17" lockText="1" noThreeD="1"/>
</file>

<file path=xl/ctrlProps/ctrlProp485.xml><?xml version="1.0" encoding="utf-8"?>
<formControlPr xmlns="http://schemas.microsoft.com/office/spreadsheetml/2009/9/main" objectType="CheckBox" fmlaLink="Task_Data!$AB$17" lockText="1" noThreeD="1"/>
</file>

<file path=xl/ctrlProps/ctrlProp486.xml><?xml version="1.0" encoding="utf-8"?>
<formControlPr xmlns="http://schemas.microsoft.com/office/spreadsheetml/2009/9/main" objectType="CheckBox" fmlaLink="Task_Data!$AC$17" lockText="1" noThreeD="1"/>
</file>

<file path=xl/ctrlProps/ctrlProp487.xml><?xml version="1.0" encoding="utf-8"?>
<formControlPr xmlns="http://schemas.microsoft.com/office/spreadsheetml/2009/9/main" objectType="CheckBox" fmlaLink="Task_Data!$AD$17" lockText="1" noThreeD="1"/>
</file>

<file path=xl/ctrlProps/ctrlProp488.xml><?xml version="1.0" encoding="utf-8"?>
<formControlPr xmlns="http://schemas.microsoft.com/office/spreadsheetml/2009/9/main" objectType="CheckBox" fmlaLink="Task_Data!$AE$17" lockText="1" noThreeD="1"/>
</file>

<file path=xl/ctrlProps/ctrlProp489.xml><?xml version="1.0" encoding="utf-8"?>
<formControlPr xmlns="http://schemas.microsoft.com/office/spreadsheetml/2009/9/main" objectType="CheckBox" fmlaLink="Task_Data!$AF$17" lockText="1" noThreeD="1"/>
</file>

<file path=xl/ctrlProps/ctrlProp490.xml><?xml version="1.0" encoding="utf-8"?>
<formControlPr xmlns="http://schemas.microsoft.com/office/spreadsheetml/2009/9/main" objectType="CheckBox" fmlaLink="Task_Data!$AG$17" lockText="1" noThreeD="1"/>
</file>

<file path=xl/ctrlProps/ctrlProp491.xml><?xml version="1.0" encoding="utf-8"?>
<formControlPr xmlns="http://schemas.microsoft.com/office/spreadsheetml/2009/9/main" objectType="CheckBox" fmlaLink="Task_Data!$AH$17" lockText="1" noThreeD="1"/>
</file>

<file path=xl/ctrlProps/ctrlProp492.xml><?xml version="1.0" encoding="utf-8"?>
<formControlPr xmlns="http://schemas.microsoft.com/office/spreadsheetml/2009/9/main" objectType="CheckBox" fmlaLink="Task_Data!$AI$17" lockText="1" noThreeD="1"/>
</file>

<file path=xl/ctrlProps/ctrlProp493.xml><?xml version="1.0" encoding="utf-8"?>
<formControlPr xmlns="http://schemas.microsoft.com/office/spreadsheetml/2009/9/main" objectType="CheckBox" fmlaLink="Task_Data!$AJ$17" lockText="1" noThreeD="1"/>
</file>

<file path=xl/ctrlProps/ctrlProp494.xml><?xml version="1.0" encoding="utf-8"?>
<formControlPr xmlns="http://schemas.microsoft.com/office/spreadsheetml/2009/9/main" objectType="CheckBox" fmlaLink="Task_Data!$AK$17" lockText="1" noThreeD="1"/>
</file>

<file path=xl/ctrlProps/ctrlProp495.xml><?xml version="1.0" encoding="utf-8"?>
<formControlPr xmlns="http://schemas.microsoft.com/office/spreadsheetml/2009/9/main" objectType="CheckBox" fmlaLink="Task_Data!$AL$17" lockText="1" noThreeD="1"/>
</file>

<file path=xl/ctrlProps/ctrlProp496.xml><?xml version="1.0" encoding="utf-8"?>
<formControlPr xmlns="http://schemas.microsoft.com/office/spreadsheetml/2009/9/main" objectType="CheckBox" fmlaLink="Task_Data!$H$18" lockText="1" noThreeD="1"/>
</file>

<file path=xl/ctrlProps/ctrlProp497.xml><?xml version="1.0" encoding="utf-8"?>
<formControlPr xmlns="http://schemas.microsoft.com/office/spreadsheetml/2009/9/main" objectType="CheckBox" fmlaLink="Task_Data!$I$18" lockText="1" noThreeD="1"/>
</file>

<file path=xl/ctrlProps/ctrlProp498.xml><?xml version="1.0" encoding="utf-8"?>
<formControlPr xmlns="http://schemas.microsoft.com/office/spreadsheetml/2009/9/main" objectType="CheckBox" fmlaLink="Task_Data!$J$18" lockText="1" noThreeD="1"/>
</file>

<file path=xl/ctrlProps/ctrlProp499.xml><?xml version="1.0" encoding="utf-8"?>
<formControlPr xmlns="http://schemas.microsoft.com/office/spreadsheetml/2009/9/main" objectType="CheckBox" fmlaLink="Task_Data!$K$18" lockText="1" noThreeD="1"/>
</file>

<file path=xl/ctrlProps/ctrlProp500.xml><?xml version="1.0" encoding="utf-8"?>
<formControlPr xmlns="http://schemas.microsoft.com/office/spreadsheetml/2009/9/main" objectType="CheckBox" fmlaLink="Task_Data!$L$18" lockText="1" noThreeD="1"/>
</file>

<file path=xl/ctrlProps/ctrlProp501.xml><?xml version="1.0" encoding="utf-8"?>
<formControlPr xmlns="http://schemas.microsoft.com/office/spreadsheetml/2009/9/main" objectType="CheckBox" fmlaLink="Task_Data!$M$18" lockText="1" noThreeD="1"/>
</file>

<file path=xl/ctrlProps/ctrlProp502.xml><?xml version="1.0" encoding="utf-8"?>
<formControlPr xmlns="http://schemas.microsoft.com/office/spreadsheetml/2009/9/main" objectType="CheckBox" fmlaLink="Task_Data!$N$18" lockText="1" noThreeD="1"/>
</file>

<file path=xl/ctrlProps/ctrlProp503.xml><?xml version="1.0" encoding="utf-8"?>
<formControlPr xmlns="http://schemas.microsoft.com/office/spreadsheetml/2009/9/main" objectType="CheckBox" fmlaLink="Task_Data!$O$18" lockText="1" noThreeD="1"/>
</file>

<file path=xl/ctrlProps/ctrlProp504.xml><?xml version="1.0" encoding="utf-8"?>
<formControlPr xmlns="http://schemas.microsoft.com/office/spreadsheetml/2009/9/main" objectType="CheckBox" fmlaLink="Task_Data!$P$18" lockText="1" noThreeD="1"/>
</file>

<file path=xl/ctrlProps/ctrlProp505.xml><?xml version="1.0" encoding="utf-8"?>
<formControlPr xmlns="http://schemas.microsoft.com/office/spreadsheetml/2009/9/main" objectType="CheckBox" fmlaLink="Task_Data!$Q$18" lockText="1" noThreeD="1"/>
</file>

<file path=xl/ctrlProps/ctrlProp506.xml><?xml version="1.0" encoding="utf-8"?>
<formControlPr xmlns="http://schemas.microsoft.com/office/spreadsheetml/2009/9/main" objectType="CheckBox" fmlaLink="Task_Data!$R$18" lockText="1" noThreeD="1"/>
</file>

<file path=xl/ctrlProps/ctrlProp507.xml><?xml version="1.0" encoding="utf-8"?>
<formControlPr xmlns="http://schemas.microsoft.com/office/spreadsheetml/2009/9/main" objectType="CheckBox" fmlaLink="Task_Data!$S$18" lockText="1" noThreeD="1"/>
</file>

<file path=xl/ctrlProps/ctrlProp508.xml><?xml version="1.0" encoding="utf-8"?>
<formControlPr xmlns="http://schemas.microsoft.com/office/spreadsheetml/2009/9/main" objectType="CheckBox" fmlaLink="Task_Data!$T$18" lockText="1" noThreeD="1"/>
</file>

<file path=xl/ctrlProps/ctrlProp509.xml><?xml version="1.0" encoding="utf-8"?>
<formControlPr xmlns="http://schemas.microsoft.com/office/spreadsheetml/2009/9/main" objectType="CheckBox" fmlaLink="Task_Data!$U$18" lockText="1" noThreeD="1"/>
</file>

<file path=xl/ctrlProps/ctrlProp510.xml><?xml version="1.0" encoding="utf-8"?>
<formControlPr xmlns="http://schemas.microsoft.com/office/spreadsheetml/2009/9/main" objectType="CheckBox" fmlaLink="Task_Data!$V$18" lockText="1" noThreeD="1"/>
</file>

<file path=xl/ctrlProps/ctrlProp511.xml><?xml version="1.0" encoding="utf-8"?>
<formControlPr xmlns="http://schemas.microsoft.com/office/spreadsheetml/2009/9/main" objectType="CheckBox" fmlaLink="Task_Data!$W$18" lockText="1" noThreeD="1"/>
</file>

<file path=xl/ctrlProps/ctrlProp512.xml><?xml version="1.0" encoding="utf-8"?>
<formControlPr xmlns="http://schemas.microsoft.com/office/spreadsheetml/2009/9/main" objectType="CheckBox" fmlaLink="Task_Data!$X$18" lockText="1" noThreeD="1"/>
</file>

<file path=xl/ctrlProps/ctrlProp513.xml><?xml version="1.0" encoding="utf-8"?>
<formControlPr xmlns="http://schemas.microsoft.com/office/spreadsheetml/2009/9/main" objectType="CheckBox" fmlaLink="Task_Data!$Y$18" lockText="1" noThreeD="1"/>
</file>

<file path=xl/ctrlProps/ctrlProp514.xml><?xml version="1.0" encoding="utf-8"?>
<formControlPr xmlns="http://schemas.microsoft.com/office/spreadsheetml/2009/9/main" objectType="CheckBox" fmlaLink="Task_Data!$Z$18" lockText="1" noThreeD="1"/>
</file>

<file path=xl/ctrlProps/ctrlProp515.xml><?xml version="1.0" encoding="utf-8"?>
<formControlPr xmlns="http://schemas.microsoft.com/office/spreadsheetml/2009/9/main" objectType="CheckBox" fmlaLink="Task_Data!$AA$18" lockText="1" noThreeD="1"/>
</file>

<file path=xl/ctrlProps/ctrlProp516.xml><?xml version="1.0" encoding="utf-8"?>
<formControlPr xmlns="http://schemas.microsoft.com/office/spreadsheetml/2009/9/main" objectType="CheckBox" fmlaLink="Task_Data!$AB$18" lockText="1" noThreeD="1"/>
</file>

<file path=xl/ctrlProps/ctrlProp517.xml><?xml version="1.0" encoding="utf-8"?>
<formControlPr xmlns="http://schemas.microsoft.com/office/spreadsheetml/2009/9/main" objectType="CheckBox" fmlaLink="Task_Data!$AC$18" lockText="1" noThreeD="1"/>
</file>

<file path=xl/ctrlProps/ctrlProp518.xml><?xml version="1.0" encoding="utf-8"?>
<formControlPr xmlns="http://schemas.microsoft.com/office/spreadsheetml/2009/9/main" objectType="CheckBox" fmlaLink="Task_Data!$AD$18" lockText="1" noThreeD="1"/>
</file>

<file path=xl/ctrlProps/ctrlProp519.xml><?xml version="1.0" encoding="utf-8"?>
<formControlPr xmlns="http://schemas.microsoft.com/office/spreadsheetml/2009/9/main" objectType="CheckBox" fmlaLink="Task_Data!$AE$18" lockText="1" noThreeD="1"/>
</file>

<file path=xl/ctrlProps/ctrlProp520.xml><?xml version="1.0" encoding="utf-8"?>
<formControlPr xmlns="http://schemas.microsoft.com/office/spreadsheetml/2009/9/main" objectType="CheckBox" fmlaLink="Task_Data!$AF$18" lockText="1" noThreeD="1"/>
</file>

<file path=xl/ctrlProps/ctrlProp521.xml><?xml version="1.0" encoding="utf-8"?>
<formControlPr xmlns="http://schemas.microsoft.com/office/spreadsheetml/2009/9/main" objectType="CheckBox" fmlaLink="Task_Data!$AG$18" lockText="1" noThreeD="1"/>
</file>

<file path=xl/ctrlProps/ctrlProp522.xml><?xml version="1.0" encoding="utf-8"?>
<formControlPr xmlns="http://schemas.microsoft.com/office/spreadsheetml/2009/9/main" objectType="CheckBox" fmlaLink="Task_Data!$AH$18" lockText="1" noThreeD="1"/>
</file>

<file path=xl/ctrlProps/ctrlProp523.xml><?xml version="1.0" encoding="utf-8"?>
<formControlPr xmlns="http://schemas.microsoft.com/office/spreadsheetml/2009/9/main" objectType="CheckBox" fmlaLink="Task_Data!$AI$18" lockText="1" noThreeD="1"/>
</file>

<file path=xl/ctrlProps/ctrlProp524.xml><?xml version="1.0" encoding="utf-8"?>
<formControlPr xmlns="http://schemas.microsoft.com/office/spreadsheetml/2009/9/main" objectType="CheckBox" fmlaLink="Task_Data!$AJ$18" lockText="1" noThreeD="1"/>
</file>

<file path=xl/ctrlProps/ctrlProp525.xml><?xml version="1.0" encoding="utf-8"?>
<formControlPr xmlns="http://schemas.microsoft.com/office/spreadsheetml/2009/9/main" objectType="CheckBox" fmlaLink="Task_Data!$AK$18" lockText="1" noThreeD="1"/>
</file>

<file path=xl/ctrlProps/ctrlProp526.xml><?xml version="1.0" encoding="utf-8"?>
<formControlPr xmlns="http://schemas.microsoft.com/office/spreadsheetml/2009/9/main" objectType="CheckBox" fmlaLink="Task_Data!$AL$18" lockText="1" noThreeD="1"/>
</file>

<file path=xl/ctrlProps/ctrlProp527.xml><?xml version="1.0" encoding="utf-8"?>
<formControlPr xmlns="http://schemas.microsoft.com/office/spreadsheetml/2009/9/main" objectType="CheckBox" fmlaLink="Task_Data!$H$19" lockText="1" noThreeD="1"/>
</file>

<file path=xl/ctrlProps/ctrlProp528.xml><?xml version="1.0" encoding="utf-8"?>
<formControlPr xmlns="http://schemas.microsoft.com/office/spreadsheetml/2009/9/main" objectType="CheckBox" fmlaLink="Task_Data!$I$19" lockText="1" noThreeD="1"/>
</file>

<file path=xl/ctrlProps/ctrlProp529.xml><?xml version="1.0" encoding="utf-8"?>
<formControlPr xmlns="http://schemas.microsoft.com/office/spreadsheetml/2009/9/main" objectType="CheckBox" fmlaLink="Task_Data!$J$19" lockText="1" noThreeD="1"/>
</file>

<file path=xl/ctrlProps/ctrlProp530.xml><?xml version="1.0" encoding="utf-8"?>
<formControlPr xmlns="http://schemas.microsoft.com/office/spreadsheetml/2009/9/main" objectType="CheckBox" fmlaLink="Task_Data!$K$19" lockText="1" noThreeD="1"/>
</file>

<file path=xl/ctrlProps/ctrlProp531.xml><?xml version="1.0" encoding="utf-8"?>
<formControlPr xmlns="http://schemas.microsoft.com/office/spreadsheetml/2009/9/main" objectType="CheckBox" fmlaLink="Task_Data!$L$19" lockText="1" noThreeD="1"/>
</file>

<file path=xl/ctrlProps/ctrlProp532.xml><?xml version="1.0" encoding="utf-8"?>
<formControlPr xmlns="http://schemas.microsoft.com/office/spreadsheetml/2009/9/main" objectType="CheckBox" fmlaLink="Task_Data!$M$19" lockText="1" noThreeD="1"/>
</file>

<file path=xl/ctrlProps/ctrlProp533.xml><?xml version="1.0" encoding="utf-8"?>
<formControlPr xmlns="http://schemas.microsoft.com/office/spreadsheetml/2009/9/main" objectType="CheckBox" fmlaLink="Task_Data!$N$19" lockText="1" noThreeD="1"/>
</file>

<file path=xl/ctrlProps/ctrlProp534.xml><?xml version="1.0" encoding="utf-8"?>
<formControlPr xmlns="http://schemas.microsoft.com/office/spreadsheetml/2009/9/main" objectType="CheckBox" fmlaLink="Task_Data!$O$19" lockText="1" noThreeD="1"/>
</file>

<file path=xl/ctrlProps/ctrlProp535.xml><?xml version="1.0" encoding="utf-8"?>
<formControlPr xmlns="http://schemas.microsoft.com/office/spreadsheetml/2009/9/main" objectType="CheckBox" fmlaLink="Task_Data!$P$19" lockText="1" noThreeD="1"/>
</file>

<file path=xl/ctrlProps/ctrlProp536.xml><?xml version="1.0" encoding="utf-8"?>
<formControlPr xmlns="http://schemas.microsoft.com/office/spreadsheetml/2009/9/main" objectType="CheckBox" fmlaLink="Task_Data!$Q$19" lockText="1" noThreeD="1"/>
</file>

<file path=xl/ctrlProps/ctrlProp537.xml><?xml version="1.0" encoding="utf-8"?>
<formControlPr xmlns="http://schemas.microsoft.com/office/spreadsheetml/2009/9/main" objectType="CheckBox" fmlaLink="Task_Data!$R$19" lockText="1" noThreeD="1"/>
</file>

<file path=xl/ctrlProps/ctrlProp538.xml><?xml version="1.0" encoding="utf-8"?>
<formControlPr xmlns="http://schemas.microsoft.com/office/spreadsheetml/2009/9/main" objectType="CheckBox" fmlaLink="Task_Data!$S$19" lockText="1" noThreeD="1"/>
</file>

<file path=xl/ctrlProps/ctrlProp539.xml><?xml version="1.0" encoding="utf-8"?>
<formControlPr xmlns="http://schemas.microsoft.com/office/spreadsheetml/2009/9/main" objectType="CheckBox" fmlaLink="Task_Data!$T$19" lockText="1" noThreeD="1"/>
</file>

<file path=xl/ctrlProps/ctrlProp540.xml><?xml version="1.0" encoding="utf-8"?>
<formControlPr xmlns="http://schemas.microsoft.com/office/spreadsheetml/2009/9/main" objectType="CheckBox" fmlaLink="Task_Data!$U$19" lockText="1" noThreeD="1"/>
</file>

<file path=xl/ctrlProps/ctrlProp541.xml><?xml version="1.0" encoding="utf-8"?>
<formControlPr xmlns="http://schemas.microsoft.com/office/spreadsheetml/2009/9/main" objectType="CheckBox" fmlaLink="Task_Data!$V$19" lockText="1" noThreeD="1"/>
</file>

<file path=xl/ctrlProps/ctrlProp542.xml><?xml version="1.0" encoding="utf-8"?>
<formControlPr xmlns="http://schemas.microsoft.com/office/spreadsheetml/2009/9/main" objectType="CheckBox" fmlaLink="Task_Data!$W$19" lockText="1" noThreeD="1"/>
</file>

<file path=xl/ctrlProps/ctrlProp543.xml><?xml version="1.0" encoding="utf-8"?>
<formControlPr xmlns="http://schemas.microsoft.com/office/spreadsheetml/2009/9/main" objectType="CheckBox" fmlaLink="Task_Data!$X$19" lockText="1" noThreeD="1"/>
</file>

<file path=xl/ctrlProps/ctrlProp544.xml><?xml version="1.0" encoding="utf-8"?>
<formControlPr xmlns="http://schemas.microsoft.com/office/spreadsheetml/2009/9/main" objectType="CheckBox" fmlaLink="Task_Data!$Y$19" lockText="1" noThreeD="1"/>
</file>

<file path=xl/ctrlProps/ctrlProp545.xml><?xml version="1.0" encoding="utf-8"?>
<formControlPr xmlns="http://schemas.microsoft.com/office/spreadsheetml/2009/9/main" objectType="CheckBox" fmlaLink="Task_Data!$Z$19" lockText="1" noThreeD="1"/>
</file>

<file path=xl/ctrlProps/ctrlProp546.xml><?xml version="1.0" encoding="utf-8"?>
<formControlPr xmlns="http://schemas.microsoft.com/office/spreadsheetml/2009/9/main" objectType="CheckBox" fmlaLink="Task_Data!$AA$19" lockText="1" noThreeD="1"/>
</file>

<file path=xl/ctrlProps/ctrlProp547.xml><?xml version="1.0" encoding="utf-8"?>
<formControlPr xmlns="http://schemas.microsoft.com/office/spreadsheetml/2009/9/main" objectType="CheckBox" fmlaLink="Task_Data!$AB$19" lockText="1" noThreeD="1"/>
</file>

<file path=xl/ctrlProps/ctrlProp548.xml><?xml version="1.0" encoding="utf-8"?>
<formControlPr xmlns="http://schemas.microsoft.com/office/spreadsheetml/2009/9/main" objectType="CheckBox" fmlaLink="Task_Data!$AC$19" lockText="1" noThreeD="1"/>
</file>

<file path=xl/ctrlProps/ctrlProp549.xml><?xml version="1.0" encoding="utf-8"?>
<formControlPr xmlns="http://schemas.microsoft.com/office/spreadsheetml/2009/9/main" objectType="CheckBox" fmlaLink="Task_Data!$AD$19" lockText="1" noThreeD="1"/>
</file>

<file path=xl/ctrlProps/ctrlProp550.xml><?xml version="1.0" encoding="utf-8"?>
<formControlPr xmlns="http://schemas.microsoft.com/office/spreadsheetml/2009/9/main" objectType="CheckBox" fmlaLink="Task_Data!$AE$19" lockText="1" noThreeD="1"/>
</file>

<file path=xl/ctrlProps/ctrlProp551.xml><?xml version="1.0" encoding="utf-8"?>
<formControlPr xmlns="http://schemas.microsoft.com/office/spreadsheetml/2009/9/main" objectType="CheckBox" fmlaLink="Task_Data!$AF$19" lockText="1" noThreeD="1"/>
</file>

<file path=xl/ctrlProps/ctrlProp552.xml><?xml version="1.0" encoding="utf-8"?>
<formControlPr xmlns="http://schemas.microsoft.com/office/spreadsheetml/2009/9/main" objectType="CheckBox" fmlaLink="Task_Data!$AG$19" lockText="1" noThreeD="1"/>
</file>

<file path=xl/ctrlProps/ctrlProp553.xml><?xml version="1.0" encoding="utf-8"?>
<formControlPr xmlns="http://schemas.microsoft.com/office/spreadsheetml/2009/9/main" objectType="CheckBox" fmlaLink="Task_Data!$AH$19" lockText="1" noThreeD="1"/>
</file>

<file path=xl/ctrlProps/ctrlProp554.xml><?xml version="1.0" encoding="utf-8"?>
<formControlPr xmlns="http://schemas.microsoft.com/office/spreadsheetml/2009/9/main" objectType="CheckBox" fmlaLink="Task_Data!$AI$19" lockText="1" noThreeD="1"/>
</file>

<file path=xl/ctrlProps/ctrlProp555.xml><?xml version="1.0" encoding="utf-8"?>
<formControlPr xmlns="http://schemas.microsoft.com/office/spreadsheetml/2009/9/main" objectType="CheckBox" fmlaLink="Task_Data!$AJ$19" lockText="1" noThreeD="1"/>
</file>

<file path=xl/ctrlProps/ctrlProp556.xml><?xml version="1.0" encoding="utf-8"?>
<formControlPr xmlns="http://schemas.microsoft.com/office/spreadsheetml/2009/9/main" objectType="CheckBox" fmlaLink="Task_Data!$AK$19" lockText="1" noThreeD="1"/>
</file>

<file path=xl/ctrlProps/ctrlProp557.xml><?xml version="1.0" encoding="utf-8"?>
<formControlPr xmlns="http://schemas.microsoft.com/office/spreadsheetml/2009/9/main" objectType="CheckBox" fmlaLink="Task_Data!$AL$19" lockText="1" noThreeD="1"/>
</file>

<file path=xl/ctrlProps/ctrlProp558.xml><?xml version="1.0" encoding="utf-8"?>
<formControlPr xmlns="http://schemas.microsoft.com/office/spreadsheetml/2009/9/main" objectType="CheckBox" fmlaLink="Task_Data!$H$20" lockText="1" noThreeD="1"/>
</file>

<file path=xl/ctrlProps/ctrlProp559.xml><?xml version="1.0" encoding="utf-8"?>
<formControlPr xmlns="http://schemas.microsoft.com/office/spreadsheetml/2009/9/main" objectType="CheckBox" fmlaLink="Task_Data!$I$20" lockText="1" noThreeD="1"/>
</file>

<file path=xl/ctrlProps/ctrlProp560.xml><?xml version="1.0" encoding="utf-8"?>
<formControlPr xmlns="http://schemas.microsoft.com/office/spreadsheetml/2009/9/main" objectType="CheckBox" fmlaLink="Task_Data!$J$20" lockText="1" noThreeD="1"/>
</file>

<file path=xl/ctrlProps/ctrlProp561.xml><?xml version="1.0" encoding="utf-8"?>
<formControlPr xmlns="http://schemas.microsoft.com/office/spreadsheetml/2009/9/main" objectType="CheckBox" fmlaLink="Task_Data!$K$20" lockText="1" noThreeD="1"/>
</file>

<file path=xl/ctrlProps/ctrlProp562.xml><?xml version="1.0" encoding="utf-8"?>
<formControlPr xmlns="http://schemas.microsoft.com/office/spreadsheetml/2009/9/main" objectType="CheckBox" fmlaLink="Task_Data!$L$20" lockText="1" noThreeD="1"/>
</file>

<file path=xl/ctrlProps/ctrlProp563.xml><?xml version="1.0" encoding="utf-8"?>
<formControlPr xmlns="http://schemas.microsoft.com/office/spreadsheetml/2009/9/main" objectType="CheckBox" fmlaLink="Task_Data!$M$20" lockText="1" noThreeD="1"/>
</file>

<file path=xl/ctrlProps/ctrlProp564.xml><?xml version="1.0" encoding="utf-8"?>
<formControlPr xmlns="http://schemas.microsoft.com/office/spreadsheetml/2009/9/main" objectType="CheckBox" fmlaLink="Task_Data!$N$20" lockText="1" noThreeD="1"/>
</file>

<file path=xl/ctrlProps/ctrlProp565.xml><?xml version="1.0" encoding="utf-8"?>
<formControlPr xmlns="http://schemas.microsoft.com/office/spreadsheetml/2009/9/main" objectType="CheckBox" fmlaLink="Task_Data!$O$20" lockText="1" noThreeD="1"/>
</file>

<file path=xl/ctrlProps/ctrlProp566.xml><?xml version="1.0" encoding="utf-8"?>
<formControlPr xmlns="http://schemas.microsoft.com/office/spreadsheetml/2009/9/main" objectType="CheckBox" fmlaLink="Task_Data!$P$20" lockText="1" noThreeD="1"/>
</file>

<file path=xl/ctrlProps/ctrlProp567.xml><?xml version="1.0" encoding="utf-8"?>
<formControlPr xmlns="http://schemas.microsoft.com/office/spreadsheetml/2009/9/main" objectType="CheckBox" fmlaLink="Task_Data!$Q$20" lockText="1" noThreeD="1"/>
</file>

<file path=xl/ctrlProps/ctrlProp568.xml><?xml version="1.0" encoding="utf-8"?>
<formControlPr xmlns="http://schemas.microsoft.com/office/spreadsheetml/2009/9/main" objectType="CheckBox" fmlaLink="Task_Data!$R$20" lockText="1" noThreeD="1"/>
</file>

<file path=xl/ctrlProps/ctrlProp569.xml><?xml version="1.0" encoding="utf-8"?>
<formControlPr xmlns="http://schemas.microsoft.com/office/spreadsheetml/2009/9/main" objectType="CheckBox" fmlaLink="Task_Data!$S$20" lockText="1" noThreeD="1"/>
</file>

<file path=xl/ctrlProps/ctrlProp570.xml><?xml version="1.0" encoding="utf-8"?>
<formControlPr xmlns="http://schemas.microsoft.com/office/spreadsheetml/2009/9/main" objectType="CheckBox" fmlaLink="Task_Data!$T$20" lockText="1" noThreeD="1"/>
</file>

<file path=xl/ctrlProps/ctrlProp571.xml><?xml version="1.0" encoding="utf-8"?>
<formControlPr xmlns="http://schemas.microsoft.com/office/spreadsheetml/2009/9/main" objectType="CheckBox" fmlaLink="Task_Data!$U$20" lockText="1" noThreeD="1"/>
</file>

<file path=xl/ctrlProps/ctrlProp572.xml><?xml version="1.0" encoding="utf-8"?>
<formControlPr xmlns="http://schemas.microsoft.com/office/spreadsheetml/2009/9/main" objectType="CheckBox" fmlaLink="Task_Data!$V$20" lockText="1" noThreeD="1"/>
</file>

<file path=xl/ctrlProps/ctrlProp573.xml><?xml version="1.0" encoding="utf-8"?>
<formControlPr xmlns="http://schemas.microsoft.com/office/spreadsheetml/2009/9/main" objectType="CheckBox" fmlaLink="Task_Data!$W$20" lockText="1" noThreeD="1"/>
</file>

<file path=xl/ctrlProps/ctrlProp574.xml><?xml version="1.0" encoding="utf-8"?>
<formControlPr xmlns="http://schemas.microsoft.com/office/spreadsheetml/2009/9/main" objectType="CheckBox" fmlaLink="Task_Data!$X$20" lockText="1" noThreeD="1"/>
</file>

<file path=xl/ctrlProps/ctrlProp575.xml><?xml version="1.0" encoding="utf-8"?>
<formControlPr xmlns="http://schemas.microsoft.com/office/spreadsheetml/2009/9/main" objectType="CheckBox" fmlaLink="Task_Data!$Y$20" lockText="1" noThreeD="1"/>
</file>

<file path=xl/ctrlProps/ctrlProp576.xml><?xml version="1.0" encoding="utf-8"?>
<formControlPr xmlns="http://schemas.microsoft.com/office/spreadsheetml/2009/9/main" objectType="CheckBox" fmlaLink="Task_Data!$Z$20" lockText="1" noThreeD="1"/>
</file>

<file path=xl/ctrlProps/ctrlProp577.xml><?xml version="1.0" encoding="utf-8"?>
<formControlPr xmlns="http://schemas.microsoft.com/office/spreadsheetml/2009/9/main" objectType="CheckBox" fmlaLink="Task_Data!$AA$20" lockText="1" noThreeD="1"/>
</file>

<file path=xl/ctrlProps/ctrlProp578.xml><?xml version="1.0" encoding="utf-8"?>
<formControlPr xmlns="http://schemas.microsoft.com/office/spreadsheetml/2009/9/main" objectType="CheckBox" fmlaLink="Task_Data!$AB$20" lockText="1" noThreeD="1"/>
</file>

<file path=xl/ctrlProps/ctrlProp579.xml><?xml version="1.0" encoding="utf-8"?>
<formControlPr xmlns="http://schemas.microsoft.com/office/spreadsheetml/2009/9/main" objectType="CheckBox" fmlaLink="Task_Data!$AC$20" lockText="1" noThreeD="1"/>
</file>

<file path=xl/ctrlProps/ctrlProp580.xml><?xml version="1.0" encoding="utf-8"?>
<formControlPr xmlns="http://schemas.microsoft.com/office/spreadsheetml/2009/9/main" objectType="CheckBox" fmlaLink="Task_Data!$AD$20" lockText="1" noThreeD="1"/>
</file>

<file path=xl/ctrlProps/ctrlProp581.xml><?xml version="1.0" encoding="utf-8"?>
<formControlPr xmlns="http://schemas.microsoft.com/office/spreadsheetml/2009/9/main" objectType="CheckBox" fmlaLink="Task_Data!$AE$20" lockText="1" noThreeD="1"/>
</file>

<file path=xl/ctrlProps/ctrlProp582.xml><?xml version="1.0" encoding="utf-8"?>
<formControlPr xmlns="http://schemas.microsoft.com/office/spreadsheetml/2009/9/main" objectType="CheckBox" fmlaLink="Task_Data!$AF$20" lockText="1" noThreeD="1"/>
</file>

<file path=xl/ctrlProps/ctrlProp583.xml><?xml version="1.0" encoding="utf-8"?>
<formControlPr xmlns="http://schemas.microsoft.com/office/spreadsheetml/2009/9/main" objectType="CheckBox" fmlaLink="Task_Data!$AG$20" lockText="1" noThreeD="1"/>
</file>

<file path=xl/ctrlProps/ctrlProp584.xml><?xml version="1.0" encoding="utf-8"?>
<formControlPr xmlns="http://schemas.microsoft.com/office/spreadsheetml/2009/9/main" objectType="CheckBox" fmlaLink="Task_Data!$AH$20" lockText="1" noThreeD="1"/>
</file>

<file path=xl/ctrlProps/ctrlProp585.xml><?xml version="1.0" encoding="utf-8"?>
<formControlPr xmlns="http://schemas.microsoft.com/office/spreadsheetml/2009/9/main" objectType="CheckBox" fmlaLink="Task_Data!$AI$20" lockText="1" noThreeD="1"/>
</file>

<file path=xl/ctrlProps/ctrlProp586.xml><?xml version="1.0" encoding="utf-8"?>
<formControlPr xmlns="http://schemas.microsoft.com/office/spreadsheetml/2009/9/main" objectType="CheckBox" fmlaLink="Task_Data!$AJ$20" lockText="1" noThreeD="1"/>
</file>

<file path=xl/ctrlProps/ctrlProp587.xml><?xml version="1.0" encoding="utf-8"?>
<formControlPr xmlns="http://schemas.microsoft.com/office/spreadsheetml/2009/9/main" objectType="CheckBox" fmlaLink="Task_Data!$AK$20" lockText="1" noThreeD="1"/>
</file>

<file path=xl/ctrlProps/ctrlProp588.xml><?xml version="1.0" encoding="utf-8"?>
<formControlPr xmlns="http://schemas.microsoft.com/office/spreadsheetml/2009/9/main" objectType="CheckBox" fmlaLink="Task_Data!$AL$20" lockText="1" noThreeD="1"/>
</file>

<file path=xl/ctrlProps/ctrlProp589.xml><?xml version="1.0" encoding="utf-8"?>
<formControlPr xmlns="http://schemas.microsoft.com/office/spreadsheetml/2009/9/main" objectType="CheckBox" fmlaLink="Task_Data!$H$21" lockText="1" noThreeD="1"/>
</file>

<file path=xl/ctrlProps/ctrlProp590.xml><?xml version="1.0" encoding="utf-8"?>
<formControlPr xmlns="http://schemas.microsoft.com/office/spreadsheetml/2009/9/main" objectType="CheckBox" fmlaLink="Task_Data!$I$21" lockText="1" noThreeD="1"/>
</file>

<file path=xl/ctrlProps/ctrlProp591.xml><?xml version="1.0" encoding="utf-8"?>
<formControlPr xmlns="http://schemas.microsoft.com/office/spreadsheetml/2009/9/main" objectType="CheckBox" fmlaLink="Task_Data!$J$21" lockText="1" noThreeD="1"/>
</file>

<file path=xl/ctrlProps/ctrlProp592.xml><?xml version="1.0" encoding="utf-8"?>
<formControlPr xmlns="http://schemas.microsoft.com/office/spreadsheetml/2009/9/main" objectType="CheckBox" fmlaLink="Task_Data!$K$21" lockText="1" noThreeD="1"/>
</file>

<file path=xl/ctrlProps/ctrlProp593.xml><?xml version="1.0" encoding="utf-8"?>
<formControlPr xmlns="http://schemas.microsoft.com/office/spreadsheetml/2009/9/main" objectType="CheckBox" fmlaLink="Task_Data!$L$21" lockText="1" noThreeD="1"/>
</file>

<file path=xl/ctrlProps/ctrlProp594.xml><?xml version="1.0" encoding="utf-8"?>
<formControlPr xmlns="http://schemas.microsoft.com/office/spreadsheetml/2009/9/main" objectType="CheckBox" fmlaLink="Task_Data!$M$21" lockText="1" noThreeD="1"/>
</file>

<file path=xl/ctrlProps/ctrlProp595.xml><?xml version="1.0" encoding="utf-8"?>
<formControlPr xmlns="http://schemas.microsoft.com/office/spreadsheetml/2009/9/main" objectType="CheckBox" fmlaLink="Task_Data!$N$21" lockText="1" noThreeD="1"/>
</file>

<file path=xl/ctrlProps/ctrlProp596.xml><?xml version="1.0" encoding="utf-8"?>
<formControlPr xmlns="http://schemas.microsoft.com/office/spreadsheetml/2009/9/main" objectType="CheckBox" fmlaLink="Task_Data!$O$21" lockText="1" noThreeD="1"/>
</file>

<file path=xl/ctrlProps/ctrlProp597.xml><?xml version="1.0" encoding="utf-8"?>
<formControlPr xmlns="http://schemas.microsoft.com/office/spreadsheetml/2009/9/main" objectType="CheckBox" fmlaLink="Task_Data!$P$21" lockText="1" noThreeD="1"/>
</file>

<file path=xl/ctrlProps/ctrlProp598.xml><?xml version="1.0" encoding="utf-8"?>
<formControlPr xmlns="http://schemas.microsoft.com/office/spreadsheetml/2009/9/main" objectType="CheckBox" fmlaLink="Task_Data!$Q$21" lockText="1" noThreeD="1"/>
</file>

<file path=xl/ctrlProps/ctrlProp599.xml><?xml version="1.0" encoding="utf-8"?>
<formControlPr xmlns="http://schemas.microsoft.com/office/spreadsheetml/2009/9/main" objectType="CheckBox" fmlaLink="Task_Data!$R$21" lockText="1" noThreeD="1"/>
</file>

<file path=xl/ctrlProps/ctrlProp600.xml><?xml version="1.0" encoding="utf-8"?>
<formControlPr xmlns="http://schemas.microsoft.com/office/spreadsheetml/2009/9/main" objectType="CheckBox" fmlaLink="Task_Data!$S$21" lockText="1" noThreeD="1"/>
</file>

<file path=xl/ctrlProps/ctrlProp601.xml><?xml version="1.0" encoding="utf-8"?>
<formControlPr xmlns="http://schemas.microsoft.com/office/spreadsheetml/2009/9/main" objectType="CheckBox" fmlaLink="Task_Data!$T$21" lockText="1" noThreeD="1"/>
</file>

<file path=xl/ctrlProps/ctrlProp602.xml><?xml version="1.0" encoding="utf-8"?>
<formControlPr xmlns="http://schemas.microsoft.com/office/spreadsheetml/2009/9/main" objectType="CheckBox" fmlaLink="Task_Data!$U$21" lockText="1" noThreeD="1"/>
</file>

<file path=xl/ctrlProps/ctrlProp603.xml><?xml version="1.0" encoding="utf-8"?>
<formControlPr xmlns="http://schemas.microsoft.com/office/spreadsheetml/2009/9/main" objectType="CheckBox" fmlaLink="Task_Data!$V$21" lockText="1" noThreeD="1"/>
</file>

<file path=xl/ctrlProps/ctrlProp604.xml><?xml version="1.0" encoding="utf-8"?>
<formControlPr xmlns="http://schemas.microsoft.com/office/spreadsheetml/2009/9/main" objectType="CheckBox" fmlaLink="Task_Data!$W$21" lockText="1" noThreeD="1"/>
</file>

<file path=xl/ctrlProps/ctrlProp605.xml><?xml version="1.0" encoding="utf-8"?>
<formControlPr xmlns="http://schemas.microsoft.com/office/spreadsheetml/2009/9/main" objectType="CheckBox" fmlaLink="Task_Data!$X$21" lockText="1" noThreeD="1"/>
</file>

<file path=xl/ctrlProps/ctrlProp606.xml><?xml version="1.0" encoding="utf-8"?>
<formControlPr xmlns="http://schemas.microsoft.com/office/spreadsheetml/2009/9/main" objectType="CheckBox" fmlaLink="Task_Data!$Y$21" lockText="1" noThreeD="1"/>
</file>

<file path=xl/ctrlProps/ctrlProp607.xml><?xml version="1.0" encoding="utf-8"?>
<formControlPr xmlns="http://schemas.microsoft.com/office/spreadsheetml/2009/9/main" objectType="CheckBox" fmlaLink="Task_Data!$Z$21" lockText="1" noThreeD="1"/>
</file>

<file path=xl/ctrlProps/ctrlProp608.xml><?xml version="1.0" encoding="utf-8"?>
<formControlPr xmlns="http://schemas.microsoft.com/office/spreadsheetml/2009/9/main" objectType="CheckBox" fmlaLink="Task_Data!$AA$21" lockText="1" noThreeD="1"/>
</file>

<file path=xl/ctrlProps/ctrlProp609.xml><?xml version="1.0" encoding="utf-8"?>
<formControlPr xmlns="http://schemas.microsoft.com/office/spreadsheetml/2009/9/main" objectType="CheckBox" fmlaLink="Task_Data!$AB$21" lockText="1" noThreeD="1"/>
</file>

<file path=xl/ctrlProps/ctrlProp610.xml><?xml version="1.0" encoding="utf-8"?>
<formControlPr xmlns="http://schemas.microsoft.com/office/spreadsheetml/2009/9/main" objectType="CheckBox" fmlaLink="Task_Data!$AC$21" lockText="1" noThreeD="1"/>
</file>

<file path=xl/ctrlProps/ctrlProp611.xml><?xml version="1.0" encoding="utf-8"?>
<formControlPr xmlns="http://schemas.microsoft.com/office/spreadsheetml/2009/9/main" objectType="CheckBox" fmlaLink="Task_Data!$AD$21" lockText="1" noThreeD="1"/>
</file>

<file path=xl/ctrlProps/ctrlProp612.xml><?xml version="1.0" encoding="utf-8"?>
<formControlPr xmlns="http://schemas.microsoft.com/office/spreadsheetml/2009/9/main" objectType="CheckBox" fmlaLink="Task_Data!$AE$21" lockText="1" noThreeD="1"/>
</file>

<file path=xl/ctrlProps/ctrlProp613.xml><?xml version="1.0" encoding="utf-8"?>
<formControlPr xmlns="http://schemas.microsoft.com/office/spreadsheetml/2009/9/main" objectType="CheckBox" fmlaLink="Task_Data!$AF$21" lockText="1" noThreeD="1"/>
</file>

<file path=xl/ctrlProps/ctrlProp614.xml><?xml version="1.0" encoding="utf-8"?>
<formControlPr xmlns="http://schemas.microsoft.com/office/spreadsheetml/2009/9/main" objectType="CheckBox" fmlaLink="Task_Data!$AG$21" lockText="1" noThreeD="1"/>
</file>

<file path=xl/ctrlProps/ctrlProp615.xml><?xml version="1.0" encoding="utf-8"?>
<formControlPr xmlns="http://schemas.microsoft.com/office/spreadsheetml/2009/9/main" objectType="CheckBox" fmlaLink="Task_Data!$AH$21" lockText="1" noThreeD="1"/>
</file>

<file path=xl/ctrlProps/ctrlProp616.xml><?xml version="1.0" encoding="utf-8"?>
<formControlPr xmlns="http://schemas.microsoft.com/office/spreadsheetml/2009/9/main" objectType="CheckBox" fmlaLink="Task_Data!$AI$21" lockText="1" noThreeD="1"/>
</file>

<file path=xl/ctrlProps/ctrlProp617.xml><?xml version="1.0" encoding="utf-8"?>
<formControlPr xmlns="http://schemas.microsoft.com/office/spreadsheetml/2009/9/main" objectType="CheckBox" fmlaLink="Task_Data!$AJ$21" lockText="1" noThreeD="1"/>
</file>

<file path=xl/ctrlProps/ctrlProp618.xml><?xml version="1.0" encoding="utf-8"?>
<formControlPr xmlns="http://schemas.microsoft.com/office/spreadsheetml/2009/9/main" objectType="CheckBox" fmlaLink="Task_Data!$AK$21" lockText="1" noThreeD="1"/>
</file>

<file path=xl/ctrlProps/ctrlProp619.xml><?xml version="1.0" encoding="utf-8"?>
<formControlPr xmlns="http://schemas.microsoft.com/office/spreadsheetml/2009/9/main" objectType="CheckBox" fmlaLink="Task_Data!$AL$21" lockText="1" noThreeD="1"/>
</file>

<file path=xl/ctrlProps/ctrlProp620.xml><?xml version="1.0" encoding="utf-8"?>
<formControlPr xmlns="http://schemas.microsoft.com/office/spreadsheetml/2009/9/main" objectType="CheckBox" fmlaLink="Task_Data!$H$22" lockText="1" noThreeD="1"/>
</file>

<file path=xl/ctrlProps/ctrlProp621.xml><?xml version="1.0" encoding="utf-8"?>
<formControlPr xmlns="http://schemas.microsoft.com/office/spreadsheetml/2009/9/main" objectType="CheckBox" fmlaLink="Task_Data!$I$22" lockText="1" noThreeD="1"/>
</file>

<file path=xl/ctrlProps/ctrlProp622.xml><?xml version="1.0" encoding="utf-8"?>
<formControlPr xmlns="http://schemas.microsoft.com/office/spreadsheetml/2009/9/main" objectType="CheckBox" fmlaLink="Task_Data!$J$22" lockText="1" noThreeD="1"/>
</file>

<file path=xl/ctrlProps/ctrlProp623.xml><?xml version="1.0" encoding="utf-8"?>
<formControlPr xmlns="http://schemas.microsoft.com/office/spreadsheetml/2009/9/main" objectType="CheckBox" fmlaLink="Task_Data!$K$22" lockText="1" noThreeD="1"/>
</file>

<file path=xl/ctrlProps/ctrlProp624.xml><?xml version="1.0" encoding="utf-8"?>
<formControlPr xmlns="http://schemas.microsoft.com/office/spreadsheetml/2009/9/main" objectType="CheckBox" fmlaLink="Task_Data!$L$22" lockText="1" noThreeD="1"/>
</file>

<file path=xl/ctrlProps/ctrlProp625.xml><?xml version="1.0" encoding="utf-8"?>
<formControlPr xmlns="http://schemas.microsoft.com/office/spreadsheetml/2009/9/main" objectType="CheckBox" fmlaLink="Task_Data!$M$22" lockText="1" noThreeD="1"/>
</file>

<file path=xl/ctrlProps/ctrlProp626.xml><?xml version="1.0" encoding="utf-8"?>
<formControlPr xmlns="http://schemas.microsoft.com/office/spreadsheetml/2009/9/main" objectType="CheckBox" fmlaLink="Task_Data!$N$22" lockText="1" noThreeD="1"/>
</file>

<file path=xl/ctrlProps/ctrlProp627.xml><?xml version="1.0" encoding="utf-8"?>
<formControlPr xmlns="http://schemas.microsoft.com/office/spreadsheetml/2009/9/main" objectType="CheckBox" fmlaLink="Task_Data!$O$22" lockText="1" noThreeD="1"/>
</file>

<file path=xl/ctrlProps/ctrlProp628.xml><?xml version="1.0" encoding="utf-8"?>
<formControlPr xmlns="http://schemas.microsoft.com/office/spreadsheetml/2009/9/main" objectType="CheckBox" fmlaLink="Task_Data!$P$22" lockText="1" noThreeD="1"/>
</file>

<file path=xl/ctrlProps/ctrlProp629.xml><?xml version="1.0" encoding="utf-8"?>
<formControlPr xmlns="http://schemas.microsoft.com/office/spreadsheetml/2009/9/main" objectType="CheckBox" fmlaLink="Task_Data!$Q$22" lockText="1" noThreeD="1"/>
</file>

<file path=xl/ctrlProps/ctrlProp630.xml><?xml version="1.0" encoding="utf-8"?>
<formControlPr xmlns="http://schemas.microsoft.com/office/spreadsheetml/2009/9/main" objectType="CheckBox" fmlaLink="Task_Data!$R$22" lockText="1" noThreeD="1"/>
</file>

<file path=xl/ctrlProps/ctrlProp631.xml><?xml version="1.0" encoding="utf-8"?>
<formControlPr xmlns="http://schemas.microsoft.com/office/spreadsheetml/2009/9/main" objectType="CheckBox" fmlaLink="Task_Data!$S$22" lockText="1" noThreeD="1"/>
</file>

<file path=xl/ctrlProps/ctrlProp632.xml><?xml version="1.0" encoding="utf-8"?>
<formControlPr xmlns="http://schemas.microsoft.com/office/spreadsheetml/2009/9/main" objectType="CheckBox" fmlaLink="Task_Data!$T$22" lockText="1" noThreeD="1"/>
</file>

<file path=xl/ctrlProps/ctrlProp633.xml><?xml version="1.0" encoding="utf-8"?>
<formControlPr xmlns="http://schemas.microsoft.com/office/spreadsheetml/2009/9/main" objectType="CheckBox" fmlaLink="Task_Data!$U$22" lockText="1" noThreeD="1"/>
</file>

<file path=xl/ctrlProps/ctrlProp634.xml><?xml version="1.0" encoding="utf-8"?>
<formControlPr xmlns="http://schemas.microsoft.com/office/spreadsheetml/2009/9/main" objectType="CheckBox" fmlaLink="Task_Data!$V$22" lockText="1" noThreeD="1"/>
</file>

<file path=xl/ctrlProps/ctrlProp635.xml><?xml version="1.0" encoding="utf-8"?>
<formControlPr xmlns="http://schemas.microsoft.com/office/spreadsheetml/2009/9/main" objectType="CheckBox" fmlaLink="Task_Data!$W$22" lockText="1" noThreeD="1"/>
</file>

<file path=xl/ctrlProps/ctrlProp636.xml><?xml version="1.0" encoding="utf-8"?>
<formControlPr xmlns="http://schemas.microsoft.com/office/spreadsheetml/2009/9/main" objectType="CheckBox" fmlaLink="Task_Data!$X$22" lockText="1" noThreeD="1"/>
</file>

<file path=xl/ctrlProps/ctrlProp637.xml><?xml version="1.0" encoding="utf-8"?>
<formControlPr xmlns="http://schemas.microsoft.com/office/spreadsheetml/2009/9/main" objectType="CheckBox" fmlaLink="Task_Data!$Y$22" lockText="1" noThreeD="1"/>
</file>

<file path=xl/ctrlProps/ctrlProp638.xml><?xml version="1.0" encoding="utf-8"?>
<formControlPr xmlns="http://schemas.microsoft.com/office/spreadsheetml/2009/9/main" objectType="CheckBox" fmlaLink="Task_Data!$Z$22" lockText="1" noThreeD="1"/>
</file>

<file path=xl/ctrlProps/ctrlProp639.xml><?xml version="1.0" encoding="utf-8"?>
<formControlPr xmlns="http://schemas.microsoft.com/office/spreadsheetml/2009/9/main" objectType="CheckBox" fmlaLink="Task_Data!$AA$22" lockText="1" noThreeD="1"/>
</file>

<file path=xl/ctrlProps/ctrlProp640.xml><?xml version="1.0" encoding="utf-8"?>
<formControlPr xmlns="http://schemas.microsoft.com/office/spreadsheetml/2009/9/main" objectType="CheckBox" fmlaLink="Task_Data!$AB$22" lockText="1" noThreeD="1"/>
</file>

<file path=xl/ctrlProps/ctrlProp641.xml><?xml version="1.0" encoding="utf-8"?>
<formControlPr xmlns="http://schemas.microsoft.com/office/spreadsheetml/2009/9/main" objectType="CheckBox" fmlaLink="Task_Data!$AC$22" lockText="1" noThreeD="1"/>
</file>

<file path=xl/ctrlProps/ctrlProp642.xml><?xml version="1.0" encoding="utf-8"?>
<formControlPr xmlns="http://schemas.microsoft.com/office/spreadsheetml/2009/9/main" objectType="CheckBox" fmlaLink="Task_Data!$AD$22" lockText="1" noThreeD="1"/>
</file>

<file path=xl/ctrlProps/ctrlProp643.xml><?xml version="1.0" encoding="utf-8"?>
<formControlPr xmlns="http://schemas.microsoft.com/office/spreadsheetml/2009/9/main" objectType="CheckBox" fmlaLink="Task_Data!$AE$22" lockText="1" noThreeD="1"/>
</file>

<file path=xl/ctrlProps/ctrlProp644.xml><?xml version="1.0" encoding="utf-8"?>
<formControlPr xmlns="http://schemas.microsoft.com/office/spreadsheetml/2009/9/main" objectType="CheckBox" fmlaLink="Task_Data!$AF$22" lockText="1" noThreeD="1"/>
</file>

<file path=xl/ctrlProps/ctrlProp645.xml><?xml version="1.0" encoding="utf-8"?>
<formControlPr xmlns="http://schemas.microsoft.com/office/spreadsheetml/2009/9/main" objectType="CheckBox" fmlaLink="Task_Data!$AG$22" lockText="1" noThreeD="1"/>
</file>

<file path=xl/ctrlProps/ctrlProp646.xml><?xml version="1.0" encoding="utf-8"?>
<formControlPr xmlns="http://schemas.microsoft.com/office/spreadsheetml/2009/9/main" objectType="CheckBox" fmlaLink="Task_Data!$AH$22" lockText="1" noThreeD="1"/>
</file>

<file path=xl/ctrlProps/ctrlProp647.xml><?xml version="1.0" encoding="utf-8"?>
<formControlPr xmlns="http://schemas.microsoft.com/office/spreadsheetml/2009/9/main" objectType="CheckBox" fmlaLink="Task_Data!$AI$22" lockText="1" noThreeD="1"/>
</file>

<file path=xl/ctrlProps/ctrlProp648.xml><?xml version="1.0" encoding="utf-8"?>
<formControlPr xmlns="http://schemas.microsoft.com/office/spreadsheetml/2009/9/main" objectType="CheckBox" fmlaLink="Task_Data!$AJ$22" lockText="1" noThreeD="1"/>
</file>

<file path=xl/ctrlProps/ctrlProp649.xml><?xml version="1.0" encoding="utf-8"?>
<formControlPr xmlns="http://schemas.microsoft.com/office/spreadsheetml/2009/9/main" objectType="CheckBox" fmlaLink="Task_Data!$AK$22" lockText="1" noThreeD="1"/>
</file>

<file path=xl/ctrlProps/ctrlProp650.xml><?xml version="1.0" encoding="utf-8"?>
<formControlPr xmlns="http://schemas.microsoft.com/office/spreadsheetml/2009/9/main" objectType="CheckBox" fmlaLink="Task_Data!$AL$22" lockText="1" noThreeD="1"/>
</file>

<file path=xl/ctrlProps/ctrlProp651.xml><?xml version="1.0" encoding="utf-8"?>
<formControlPr xmlns="http://schemas.microsoft.com/office/spreadsheetml/2009/9/main" objectType="CheckBox" fmlaLink="Task_Data!$H$23" lockText="1" noThreeD="1"/>
</file>

<file path=xl/ctrlProps/ctrlProp652.xml><?xml version="1.0" encoding="utf-8"?>
<formControlPr xmlns="http://schemas.microsoft.com/office/spreadsheetml/2009/9/main" objectType="CheckBox" fmlaLink="Task_Data!$I$23" lockText="1" noThreeD="1"/>
</file>

<file path=xl/ctrlProps/ctrlProp653.xml><?xml version="1.0" encoding="utf-8"?>
<formControlPr xmlns="http://schemas.microsoft.com/office/spreadsheetml/2009/9/main" objectType="CheckBox" fmlaLink="Task_Data!$J$23" lockText="1" noThreeD="1"/>
</file>

<file path=xl/ctrlProps/ctrlProp654.xml><?xml version="1.0" encoding="utf-8"?>
<formControlPr xmlns="http://schemas.microsoft.com/office/spreadsheetml/2009/9/main" objectType="CheckBox" fmlaLink="Task_Data!$K$23" lockText="1" noThreeD="1"/>
</file>

<file path=xl/ctrlProps/ctrlProp655.xml><?xml version="1.0" encoding="utf-8"?>
<formControlPr xmlns="http://schemas.microsoft.com/office/spreadsheetml/2009/9/main" objectType="CheckBox" fmlaLink="Task_Data!$L$23" lockText="1" noThreeD="1"/>
</file>

<file path=xl/ctrlProps/ctrlProp656.xml><?xml version="1.0" encoding="utf-8"?>
<formControlPr xmlns="http://schemas.microsoft.com/office/spreadsheetml/2009/9/main" objectType="CheckBox" fmlaLink="Task_Data!$M$23" lockText="1" noThreeD="1"/>
</file>

<file path=xl/ctrlProps/ctrlProp657.xml><?xml version="1.0" encoding="utf-8"?>
<formControlPr xmlns="http://schemas.microsoft.com/office/spreadsheetml/2009/9/main" objectType="CheckBox" fmlaLink="Task_Data!$N$23" lockText="1" noThreeD="1"/>
</file>

<file path=xl/ctrlProps/ctrlProp658.xml><?xml version="1.0" encoding="utf-8"?>
<formControlPr xmlns="http://schemas.microsoft.com/office/spreadsheetml/2009/9/main" objectType="CheckBox" fmlaLink="Task_Data!$O$23" lockText="1" noThreeD="1"/>
</file>

<file path=xl/ctrlProps/ctrlProp659.xml><?xml version="1.0" encoding="utf-8"?>
<formControlPr xmlns="http://schemas.microsoft.com/office/spreadsheetml/2009/9/main" objectType="CheckBox" fmlaLink="Task_Data!$P$23" lockText="1" noThreeD="1"/>
</file>

<file path=xl/ctrlProps/ctrlProp660.xml><?xml version="1.0" encoding="utf-8"?>
<formControlPr xmlns="http://schemas.microsoft.com/office/spreadsheetml/2009/9/main" objectType="CheckBox" fmlaLink="Task_Data!$Q$23" lockText="1" noThreeD="1"/>
</file>

<file path=xl/ctrlProps/ctrlProp661.xml><?xml version="1.0" encoding="utf-8"?>
<formControlPr xmlns="http://schemas.microsoft.com/office/spreadsheetml/2009/9/main" objectType="CheckBox" fmlaLink="Task_Data!$R$23" lockText="1" noThreeD="1"/>
</file>

<file path=xl/ctrlProps/ctrlProp662.xml><?xml version="1.0" encoding="utf-8"?>
<formControlPr xmlns="http://schemas.microsoft.com/office/spreadsheetml/2009/9/main" objectType="CheckBox" fmlaLink="Task_Data!$S$23" lockText="1" noThreeD="1"/>
</file>

<file path=xl/ctrlProps/ctrlProp663.xml><?xml version="1.0" encoding="utf-8"?>
<formControlPr xmlns="http://schemas.microsoft.com/office/spreadsheetml/2009/9/main" objectType="CheckBox" fmlaLink="Task_Data!$T$23" lockText="1" noThreeD="1"/>
</file>

<file path=xl/ctrlProps/ctrlProp664.xml><?xml version="1.0" encoding="utf-8"?>
<formControlPr xmlns="http://schemas.microsoft.com/office/spreadsheetml/2009/9/main" objectType="CheckBox" fmlaLink="Task_Data!$U$23" lockText="1" noThreeD="1"/>
</file>

<file path=xl/ctrlProps/ctrlProp665.xml><?xml version="1.0" encoding="utf-8"?>
<formControlPr xmlns="http://schemas.microsoft.com/office/spreadsheetml/2009/9/main" objectType="CheckBox" fmlaLink="Task_Data!$V$23" lockText="1" noThreeD="1"/>
</file>

<file path=xl/ctrlProps/ctrlProp666.xml><?xml version="1.0" encoding="utf-8"?>
<formControlPr xmlns="http://schemas.microsoft.com/office/spreadsheetml/2009/9/main" objectType="CheckBox" fmlaLink="Task_Data!$W$23" lockText="1" noThreeD="1"/>
</file>

<file path=xl/ctrlProps/ctrlProp667.xml><?xml version="1.0" encoding="utf-8"?>
<formControlPr xmlns="http://schemas.microsoft.com/office/spreadsheetml/2009/9/main" objectType="CheckBox" fmlaLink="Task_Data!$X$23" lockText="1" noThreeD="1"/>
</file>

<file path=xl/ctrlProps/ctrlProp668.xml><?xml version="1.0" encoding="utf-8"?>
<formControlPr xmlns="http://schemas.microsoft.com/office/spreadsheetml/2009/9/main" objectType="CheckBox" fmlaLink="Task_Data!$Y$23" lockText="1" noThreeD="1"/>
</file>

<file path=xl/ctrlProps/ctrlProp669.xml><?xml version="1.0" encoding="utf-8"?>
<formControlPr xmlns="http://schemas.microsoft.com/office/spreadsheetml/2009/9/main" objectType="CheckBox" fmlaLink="Task_Data!$Z$23" lockText="1" noThreeD="1"/>
</file>

<file path=xl/ctrlProps/ctrlProp670.xml><?xml version="1.0" encoding="utf-8"?>
<formControlPr xmlns="http://schemas.microsoft.com/office/spreadsheetml/2009/9/main" objectType="CheckBox" fmlaLink="Task_Data!$AA$23" lockText="1" noThreeD="1"/>
</file>

<file path=xl/ctrlProps/ctrlProp671.xml><?xml version="1.0" encoding="utf-8"?>
<formControlPr xmlns="http://schemas.microsoft.com/office/spreadsheetml/2009/9/main" objectType="CheckBox" fmlaLink="Task_Data!$AB$23" lockText="1" noThreeD="1"/>
</file>

<file path=xl/ctrlProps/ctrlProp672.xml><?xml version="1.0" encoding="utf-8"?>
<formControlPr xmlns="http://schemas.microsoft.com/office/spreadsheetml/2009/9/main" objectType="CheckBox" fmlaLink="Task_Data!$AC$23" lockText="1" noThreeD="1"/>
</file>

<file path=xl/ctrlProps/ctrlProp673.xml><?xml version="1.0" encoding="utf-8"?>
<formControlPr xmlns="http://schemas.microsoft.com/office/spreadsheetml/2009/9/main" objectType="CheckBox" fmlaLink="Task_Data!$AD$23" lockText="1" noThreeD="1"/>
</file>

<file path=xl/ctrlProps/ctrlProp674.xml><?xml version="1.0" encoding="utf-8"?>
<formControlPr xmlns="http://schemas.microsoft.com/office/spreadsheetml/2009/9/main" objectType="CheckBox" fmlaLink="Task_Data!$AE$23" lockText="1" noThreeD="1"/>
</file>

<file path=xl/ctrlProps/ctrlProp675.xml><?xml version="1.0" encoding="utf-8"?>
<formControlPr xmlns="http://schemas.microsoft.com/office/spreadsheetml/2009/9/main" objectType="CheckBox" fmlaLink="Task_Data!$AF$23" lockText="1" noThreeD="1"/>
</file>

<file path=xl/ctrlProps/ctrlProp676.xml><?xml version="1.0" encoding="utf-8"?>
<formControlPr xmlns="http://schemas.microsoft.com/office/spreadsheetml/2009/9/main" objectType="CheckBox" fmlaLink="Task_Data!$AG$23" lockText="1" noThreeD="1"/>
</file>

<file path=xl/ctrlProps/ctrlProp677.xml><?xml version="1.0" encoding="utf-8"?>
<formControlPr xmlns="http://schemas.microsoft.com/office/spreadsheetml/2009/9/main" objectType="CheckBox" fmlaLink="Task_Data!$AH$23" lockText="1" noThreeD="1"/>
</file>

<file path=xl/ctrlProps/ctrlProp678.xml><?xml version="1.0" encoding="utf-8"?>
<formControlPr xmlns="http://schemas.microsoft.com/office/spreadsheetml/2009/9/main" objectType="CheckBox" fmlaLink="Task_Data!$AI$23" lockText="1" noThreeD="1"/>
</file>

<file path=xl/ctrlProps/ctrlProp679.xml><?xml version="1.0" encoding="utf-8"?>
<formControlPr xmlns="http://schemas.microsoft.com/office/spreadsheetml/2009/9/main" objectType="CheckBox" fmlaLink="Task_Data!$AJ$23" lockText="1" noThreeD="1"/>
</file>

<file path=xl/ctrlProps/ctrlProp680.xml><?xml version="1.0" encoding="utf-8"?>
<formControlPr xmlns="http://schemas.microsoft.com/office/spreadsheetml/2009/9/main" objectType="CheckBox" fmlaLink="Task_Data!$AK$23" lockText="1" noThreeD="1"/>
</file>

<file path=xl/ctrlProps/ctrlProp681.xml><?xml version="1.0" encoding="utf-8"?>
<formControlPr xmlns="http://schemas.microsoft.com/office/spreadsheetml/2009/9/main" objectType="CheckBox" fmlaLink="Task_Data!$AL$23" lockText="1" noThreeD="1"/>
</file>

<file path=xl/ctrlProps/ctrlProp682.xml><?xml version="1.0" encoding="utf-8"?>
<formControlPr xmlns="http://schemas.microsoft.com/office/spreadsheetml/2009/9/main" objectType="CheckBox" fmlaLink="Task_Data!$H$24" lockText="1" noThreeD="1"/>
</file>

<file path=xl/ctrlProps/ctrlProp683.xml><?xml version="1.0" encoding="utf-8"?>
<formControlPr xmlns="http://schemas.microsoft.com/office/spreadsheetml/2009/9/main" objectType="CheckBox" fmlaLink="Task_Data!$I$24" lockText="1" noThreeD="1"/>
</file>

<file path=xl/ctrlProps/ctrlProp684.xml><?xml version="1.0" encoding="utf-8"?>
<formControlPr xmlns="http://schemas.microsoft.com/office/spreadsheetml/2009/9/main" objectType="CheckBox" fmlaLink="Task_Data!$J$24" lockText="1" noThreeD="1"/>
</file>

<file path=xl/ctrlProps/ctrlProp685.xml><?xml version="1.0" encoding="utf-8"?>
<formControlPr xmlns="http://schemas.microsoft.com/office/spreadsheetml/2009/9/main" objectType="CheckBox" fmlaLink="Task_Data!$K$24" lockText="1" noThreeD="1"/>
</file>

<file path=xl/ctrlProps/ctrlProp686.xml><?xml version="1.0" encoding="utf-8"?>
<formControlPr xmlns="http://schemas.microsoft.com/office/spreadsheetml/2009/9/main" objectType="CheckBox" fmlaLink="Task_Data!$L$24" lockText="1" noThreeD="1"/>
</file>

<file path=xl/ctrlProps/ctrlProp687.xml><?xml version="1.0" encoding="utf-8"?>
<formControlPr xmlns="http://schemas.microsoft.com/office/spreadsheetml/2009/9/main" objectType="CheckBox" fmlaLink="Task_Data!$M$24" lockText="1" noThreeD="1"/>
</file>

<file path=xl/ctrlProps/ctrlProp688.xml><?xml version="1.0" encoding="utf-8"?>
<formControlPr xmlns="http://schemas.microsoft.com/office/spreadsheetml/2009/9/main" objectType="CheckBox" fmlaLink="Task_Data!$N$24" lockText="1" noThreeD="1"/>
</file>

<file path=xl/ctrlProps/ctrlProp689.xml><?xml version="1.0" encoding="utf-8"?>
<formControlPr xmlns="http://schemas.microsoft.com/office/spreadsheetml/2009/9/main" objectType="CheckBox" fmlaLink="Task_Data!$O$24" lockText="1" noThreeD="1"/>
</file>

<file path=xl/ctrlProps/ctrlProp690.xml><?xml version="1.0" encoding="utf-8"?>
<formControlPr xmlns="http://schemas.microsoft.com/office/spreadsheetml/2009/9/main" objectType="CheckBox" fmlaLink="Task_Data!$P$24" lockText="1" noThreeD="1"/>
</file>

<file path=xl/ctrlProps/ctrlProp691.xml><?xml version="1.0" encoding="utf-8"?>
<formControlPr xmlns="http://schemas.microsoft.com/office/spreadsheetml/2009/9/main" objectType="CheckBox" fmlaLink="Task_Data!$Q$24" lockText="1" noThreeD="1"/>
</file>

<file path=xl/ctrlProps/ctrlProp692.xml><?xml version="1.0" encoding="utf-8"?>
<formControlPr xmlns="http://schemas.microsoft.com/office/spreadsheetml/2009/9/main" objectType="CheckBox" fmlaLink="Task_Data!$R$24" lockText="1" noThreeD="1"/>
</file>

<file path=xl/ctrlProps/ctrlProp693.xml><?xml version="1.0" encoding="utf-8"?>
<formControlPr xmlns="http://schemas.microsoft.com/office/spreadsheetml/2009/9/main" objectType="CheckBox" fmlaLink="Task_Data!$S$24" lockText="1" noThreeD="1"/>
</file>

<file path=xl/ctrlProps/ctrlProp694.xml><?xml version="1.0" encoding="utf-8"?>
<formControlPr xmlns="http://schemas.microsoft.com/office/spreadsheetml/2009/9/main" objectType="CheckBox" fmlaLink="Task_Data!$T$24" lockText="1" noThreeD="1"/>
</file>

<file path=xl/ctrlProps/ctrlProp695.xml><?xml version="1.0" encoding="utf-8"?>
<formControlPr xmlns="http://schemas.microsoft.com/office/spreadsheetml/2009/9/main" objectType="CheckBox" fmlaLink="Task_Data!$U$24" lockText="1" noThreeD="1"/>
</file>

<file path=xl/ctrlProps/ctrlProp696.xml><?xml version="1.0" encoding="utf-8"?>
<formControlPr xmlns="http://schemas.microsoft.com/office/spreadsheetml/2009/9/main" objectType="CheckBox" fmlaLink="Task_Data!$V$24" lockText="1" noThreeD="1"/>
</file>

<file path=xl/ctrlProps/ctrlProp697.xml><?xml version="1.0" encoding="utf-8"?>
<formControlPr xmlns="http://schemas.microsoft.com/office/spreadsheetml/2009/9/main" objectType="CheckBox" fmlaLink="Task_Data!$W$24" lockText="1" noThreeD="1"/>
</file>

<file path=xl/ctrlProps/ctrlProp698.xml><?xml version="1.0" encoding="utf-8"?>
<formControlPr xmlns="http://schemas.microsoft.com/office/spreadsheetml/2009/9/main" objectType="CheckBox" fmlaLink="Task_Data!$X$24" lockText="1" noThreeD="1"/>
</file>

<file path=xl/ctrlProps/ctrlProp699.xml><?xml version="1.0" encoding="utf-8"?>
<formControlPr xmlns="http://schemas.microsoft.com/office/spreadsheetml/2009/9/main" objectType="CheckBox" fmlaLink="Task_Data!$Y$24" lockText="1" noThreeD="1"/>
</file>

<file path=xl/ctrlProps/ctrlProp700.xml><?xml version="1.0" encoding="utf-8"?>
<formControlPr xmlns="http://schemas.microsoft.com/office/spreadsheetml/2009/9/main" objectType="CheckBox" fmlaLink="Task_Data!$Z$24" lockText="1" noThreeD="1"/>
</file>

<file path=xl/ctrlProps/ctrlProp701.xml><?xml version="1.0" encoding="utf-8"?>
<formControlPr xmlns="http://schemas.microsoft.com/office/spreadsheetml/2009/9/main" objectType="CheckBox" fmlaLink="Task_Data!$AA$24" lockText="1" noThreeD="1"/>
</file>

<file path=xl/ctrlProps/ctrlProp702.xml><?xml version="1.0" encoding="utf-8"?>
<formControlPr xmlns="http://schemas.microsoft.com/office/spreadsheetml/2009/9/main" objectType="CheckBox" fmlaLink="Task_Data!$AB$24" lockText="1" noThreeD="1"/>
</file>

<file path=xl/ctrlProps/ctrlProp703.xml><?xml version="1.0" encoding="utf-8"?>
<formControlPr xmlns="http://schemas.microsoft.com/office/spreadsheetml/2009/9/main" objectType="CheckBox" fmlaLink="Task_Data!$AC$24" lockText="1" noThreeD="1"/>
</file>

<file path=xl/ctrlProps/ctrlProp704.xml><?xml version="1.0" encoding="utf-8"?>
<formControlPr xmlns="http://schemas.microsoft.com/office/spreadsheetml/2009/9/main" objectType="CheckBox" fmlaLink="Task_Data!$AD$24" lockText="1" noThreeD="1"/>
</file>

<file path=xl/ctrlProps/ctrlProp705.xml><?xml version="1.0" encoding="utf-8"?>
<formControlPr xmlns="http://schemas.microsoft.com/office/spreadsheetml/2009/9/main" objectType="CheckBox" fmlaLink="Task_Data!$AE$24" lockText="1" noThreeD="1"/>
</file>

<file path=xl/ctrlProps/ctrlProp706.xml><?xml version="1.0" encoding="utf-8"?>
<formControlPr xmlns="http://schemas.microsoft.com/office/spreadsheetml/2009/9/main" objectType="CheckBox" fmlaLink="Task_Data!$AF$24" lockText="1" noThreeD="1"/>
</file>

<file path=xl/ctrlProps/ctrlProp707.xml><?xml version="1.0" encoding="utf-8"?>
<formControlPr xmlns="http://schemas.microsoft.com/office/spreadsheetml/2009/9/main" objectType="CheckBox" fmlaLink="Task_Data!$AG$24" lockText="1" noThreeD="1"/>
</file>

<file path=xl/ctrlProps/ctrlProp708.xml><?xml version="1.0" encoding="utf-8"?>
<formControlPr xmlns="http://schemas.microsoft.com/office/spreadsheetml/2009/9/main" objectType="CheckBox" fmlaLink="Task_Data!$AH$24" lockText="1" noThreeD="1"/>
</file>

<file path=xl/ctrlProps/ctrlProp709.xml><?xml version="1.0" encoding="utf-8"?>
<formControlPr xmlns="http://schemas.microsoft.com/office/spreadsheetml/2009/9/main" objectType="CheckBox" fmlaLink="Task_Data!$AI$24" lockText="1" noThreeD="1"/>
</file>

<file path=xl/ctrlProps/ctrlProp710.xml><?xml version="1.0" encoding="utf-8"?>
<formControlPr xmlns="http://schemas.microsoft.com/office/spreadsheetml/2009/9/main" objectType="CheckBox" fmlaLink="Task_Data!$AJ$24" lockText="1" noThreeD="1"/>
</file>

<file path=xl/ctrlProps/ctrlProp711.xml><?xml version="1.0" encoding="utf-8"?>
<formControlPr xmlns="http://schemas.microsoft.com/office/spreadsheetml/2009/9/main" objectType="CheckBox" fmlaLink="Task_Data!$AK$24" lockText="1" noThreeD="1"/>
</file>

<file path=xl/ctrlProps/ctrlProp712.xml><?xml version="1.0" encoding="utf-8"?>
<formControlPr xmlns="http://schemas.microsoft.com/office/spreadsheetml/2009/9/main" objectType="CheckBox" fmlaLink="Task_Data!$AL$24" lockText="1" noThreeD="1"/>
</file>

<file path=xl/ctrlProps/ctrlProp713.xml><?xml version="1.0" encoding="utf-8"?>
<formControlPr xmlns="http://schemas.microsoft.com/office/spreadsheetml/2009/9/main" objectType="CheckBox" fmlaLink="Task_Data!$H$25" lockText="1" noThreeD="1"/>
</file>

<file path=xl/ctrlProps/ctrlProp714.xml><?xml version="1.0" encoding="utf-8"?>
<formControlPr xmlns="http://schemas.microsoft.com/office/spreadsheetml/2009/9/main" objectType="CheckBox" fmlaLink="Task_Data!$I$25" lockText="1" noThreeD="1"/>
</file>

<file path=xl/ctrlProps/ctrlProp715.xml><?xml version="1.0" encoding="utf-8"?>
<formControlPr xmlns="http://schemas.microsoft.com/office/spreadsheetml/2009/9/main" objectType="CheckBox" fmlaLink="Task_Data!$J$25" lockText="1" noThreeD="1"/>
</file>

<file path=xl/ctrlProps/ctrlProp716.xml><?xml version="1.0" encoding="utf-8"?>
<formControlPr xmlns="http://schemas.microsoft.com/office/spreadsheetml/2009/9/main" objectType="CheckBox" fmlaLink="Task_Data!$K$25" lockText="1" noThreeD="1"/>
</file>

<file path=xl/ctrlProps/ctrlProp717.xml><?xml version="1.0" encoding="utf-8"?>
<formControlPr xmlns="http://schemas.microsoft.com/office/spreadsheetml/2009/9/main" objectType="CheckBox" fmlaLink="Task_Data!$L$25" lockText="1" noThreeD="1"/>
</file>

<file path=xl/ctrlProps/ctrlProp718.xml><?xml version="1.0" encoding="utf-8"?>
<formControlPr xmlns="http://schemas.microsoft.com/office/spreadsheetml/2009/9/main" objectType="CheckBox" fmlaLink="Task_Data!$M$25" lockText="1" noThreeD="1"/>
</file>

<file path=xl/ctrlProps/ctrlProp719.xml><?xml version="1.0" encoding="utf-8"?>
<formControlPr xmlns="http://schemas.microsoft.com/office/spreadsheetml/2009/9/main" objectType="CheckBox" fmlaLink="Task_Data!$N$25" lockText="1" noThreeD="1"/>
</file>

<file path=xl/ctrlProps/ctrlProp720.xml><?xml version="1.0" encoding="utf-8"?>
<formControlPr xmlns="http://schemas.microsoft.com/office/spreadsheetml/2009/9/main" objectType="CheckBox" fmlaLink="Task_Data!$O$25" lockText="1" noThreeD="1"/>
</file>

<file path=xl/ctrlProps/ctrlProp721.xml><?xml version="1.0" encoding="utf-8"?>
<formControlPr xmlns="http://schemas.microsoft.com/office/spreadsheetml/2009/9/main" objectType="CheckBox" fmlaLink="Task_Data!$P$25" lockText="1" noThreeD="1"/>
</file>

<file path=xl/ctrlProps/ctrlProp722.xml><?xml version="1.0" encoding="utf-8"?>
<formControlPr xmlns="http://schemas.microsoft.com/office/spreadsheetml/2009/9/main" objectType="CheckBox" fmlaLink="Task_Data!$Q$25" lockText="1" noThreeD="1"/>
</file>

<file path=xl/ctrlProps/ctrlProp723.xml><?xml version="1.0" encoding="utf-8"?>
<formControlPr xmlns="http://schemas.microsoft.com/office/spreadsheetml/2009/9/main" objectType="CheckBox" fmlaLink="Task_Data!$R$25" lockText="1" noThreeD="1"/>
</file>

<file path=xl/ctrlProps/ctrlProp724.xml><?xml version="1.0" encoding="utf-8"?>
<formControlPr xmlns="http://schemas.microsoft.com/office/spreadsheetml/2009/9/main" objectType="CheckBox" fmlaLink="Task_Data!$S$25" lockText="1" noThreeD="1"/>
</file>

<file path=xl/ctrlProps/ctrlProp725.xml><?xml version="1.0" encoding="utf-8"?>
<formControlPr xmlns="http://schemas.microsoft.com/office/spreadsheetml/2009/9/main" objectType="CheckBox" fmlaLink="Task_Data!$T$25" lockText="1" noThreeD="1"/>
</file>

<file path=xl/ctrlProps/ctrlProp726.xml><?xml version="1.0" encoding="utf-8"?>
<formControlPr xmlns="http://schemas.microsoft.com/office/spreadsheetml/2009/9/main" objectType="CheckBox" fmlaLink="Task_Data!$U$25" lockText="1" noThreeD="1"/>
</file>

<file path=xl/ctrlProps/ctrlProp727.xml><?xml version="1.0" encoding="utf-8"?>
<formControlPr xmlns="http://schemas.microsoft.com/office/spreadsheetml/2009/9/main" objectType="CheckBox" fmlaLink="Task_Data!$V$25" lockText="1" noThreeD="1"/>
</file>

<file path=xl/ctrlProps/ctrlProp728.xml><?xml version="1.0" encoding="utf-8"?>
<formControlPr xmlns="http://schemas.microsoft.com/office/spreadsheetml/2009/9/main" objectType="CheckBox" fmlaLink="Task_Data!$W$25" lockText="1" noThreeD="1"/>
</file>

<file path=xl/ctrlProps/ctrlProp729.xml><?xml version="1.0" encoding="utf-8"?>
<formControlPr xmlns="http://schemas.microsoft.com/office/spreadsheetml/2009/9/main" objectType="CheckBox" fmlaLink="Task_Data!$X$25" lockText="1" noThreeD="1"/>
</file>

<file path=xl/ctrlProps/ctrlProp730.xml><?xml version="1.0" encoding="utf-8"?>
<formControlPr xmlns="http://schemas.microsoft.com/office/spreadsheetml/2009/9/main" objectType="CheckBox" fmlaLink="Task_Data!$Y$25" lockText="1" noThreeD="1"/>
</file>

<file path=xl/ctrlProps/ctrlProp731.xml><?xml version="1.0" encoding="utf-8"?>
<formControlPr xmlns="http://schemas.microsoft.com/office/spreadsheetml/2009/9/main" objectType="CheckBox" fmlaLink="Task_Data!$Z$25" lockText="1" noThreeD="1"/>
</file>

<file path=xl/ctrlProps/ctrlProp732.xml><?xml version="1.0" encoding="utf-8"?>
<formControlPr xmlns="http://schemas.microsoft.com/office/spreadsheetml/2009/9/main" objectType="CheckBox" fmlaLink="Task_Data!$AA$25" lockText="1" noThreeD="1"/>
</file>

<file path=xl/ctrlProps/ctrlProp733.xml><?xml version="1.0" encoding="utf-8"?>
<formControlPr xmlns="http://schemas.microsoft.com/office/spreadsheetml/2009/9/main" objectType="CheckBox" fmlaLink="Task_Data!$AB$25" lockText="1" noThreeD="1"/>
</file>

<file path=xl/ctrlProps/ctrlProp734.xml><?xml version="1.0" encoding="utf-8"?>
<formControlPr xmlns="http://schemas.microsoft.com/office/spreadsheetml/2009/9/main" objectType="CheckBox" fmlaLink="Task_Data!$AC$25" lockText="1" noThreeD="1"/>
</file>

<file path=xl/ctrlProps/ctrlProp735.xml><?xml version="1.0" encoding="utf-8"?>
<formControlPr xmlns="http://schemas.microsoft.com/office/spreadsheetml/2009/9/main" objectType="CheckBox" fmlaLink="Task_Data!$AD$25" lockText="1" noThreeD="1"/>
</file>

<file path=xl/ctrlProps/ctrlProp736.xml><?xml version="1.0" encoding="utf-8"?>
<formControlPr xmlns="http://schemas.microsoft.com/office/spreadsheetml/2009/9/main" objectType="CheckBox" fmlaLink="Task_Data!$AE$25" lockText="1" noThreeD="1"/>
</file>

<file path=xl/ctrlProps/ctrlProp737.xml><?xml version="1.0" encoding="utf-8"?>
<formControlPr xmlns="http://schemas.microsoft.com/office/spreadsheetml/2009/9/main" objectType="CheckBox" fmlaLink="Task_Data!$AF$25" lockText="1" noThreeD="1"/>
</file>

<file path=xl/ctrlProps/ctrlProp738.xml><?xml version="1.0" encoding="utf-8"?>
<formControlPr xmlns="http://schemas.microsoft.com/office/spreadsheetml/2009/9/main" objectType="CheckBox" fmlaLink="Task_Data!$AG$25" lockText="1" noThreeD="1"/>
</file>

<file path=xl/ctrlProps/ctrlProp739.xml><?xml version="1.0" encoding="utf-8"?>
<formControlPr xmlns="http://schemas.microsoft.com/office/spreadsheetml/2009/9/main" objectType="CheckBox" fmlaLink="Task_Data!$AH$25" lockText="1" noThreeD="1"/>
</file>

<file path=xl/ctrlProps/ctrlProp740.xml><?xml version="1.0" encoding="utf-8"?>
<formControlPr xmlns="http://schemas.microsoft.com/office/spreadsheetml/2009/9/main" objectType="CheckBox" fmlaLink="Task_Data!$AI$25" lockText="1" noThreeD="1"/>
</file>

<file path=xl/ctrlProps/ctrlProp741.xml><?xml version="1.0" encoding="utf-8"?>
<formControlPr xmlns="http://schemas.microsoft.com/office/spreadsheetml/2009/9/main" objectType="CheckBox" fmlaLink="Task_Data!$AJ$25" lockText="1" noThreeD="1"/>
</file>

<file path=xl/ctrlProps/ctrlProp742.xml><?xml version="1.0" encoding="utf-8"?>
<formControlPr xmlns="http://schemas.microsoft.com/office/spreadsheetml/2009/9/main" objectType="CheckBox" fmlaLink="Task_Data!$AK$25" lockText="1" noThreeD="1"/>
</file>

<file path=xl/ctrlProps/ctrlProp743.xml><?xml version="1.0" encoding="utf-8"?>
<formControlPr xmlns="http://schemas.microsoft.com/office/spreadsheetml/2009/9/main" objectType="CheckBox" fmlaLink="Task_Data!$AL$25" lockText="1" noThreeD="1"/>
</file>

<file path=xl/ctrlProps/ctrlProp744.xml><?xml version="1.0" encoding="utf-8"?>
<formControlPr xmlns="http://schemas.microsoft.com/office/spreadsheetml/2009/9/main" objectType="CheckBox" fmlaLink="Task_Data!$H$26" lockText="1" noThreeD="1"/>
</file>

<file path=xl/ctrlProps/ctrlProp745.xml><?xml version="1.0" encoding="utf-8"?>
<formControlPr xmlns="http://schemas.microsoft.com/office/spreadsheetml/2009/9/main" objectType="CheckBox" fmlaLink="Task_Data!$I$26" lockText="1" noThreeD="1"/>
</file>

<file path=xl/ctrlProps/ctrlProp746.xml><?xml version="1.0" encoding="utf-8"?>
<formControlPr xmlns="http://schemas.microsoft.com/office/spreadsheetml/2009/9/main" objectType="CheckBox" fmlaLink="Task_Data!$J$26" lockText="1" noThreeD="1"/>
</file>

<file path=xl/ctrlProps/ctrlProp747.xml><?xml version="1.0" encoding="utf-8"?>
<formControlPr xmlns="http://schemas.microsoft.com/office/spreadsheetml/2009/9/main" objectType="CheckBox" fmlaLink="Task_Data!$K$26" lockText="1" noThreeD="1"/>
</file>

<file path=xl/ctrlProps/ctrlProp748.xml><?xml version="1.0" encoding="utf-8"?>
<formControlPr xmlns="http://schemas.microsoft.com/office/spreadsheetml/2009/9/main" objectType="CheckBox" fmlaLink="Task_Data!$L$26" lockText="1" noThreeD="1"/>
</file>

<file path=xl/ctrlProps/ctrlProp749.xml><?xml version="1.0" encoding="utf-8"?>
<formControlPr xmlns="http://schemas.microsoft.com/office/spreadsheetml/2009/9/main" objectType="CheckBox" fmlaLink="Task_Data!$M$26" lockText="1" noThreeD="1"/>
</file>

<file path=xl/ctrlProps/ctrlProp750.xml><?xml version="1.0" encoding="utf-8"?>
<formControlPr xmlns="http://schemas.microsoft.com/office/spreadsheetml/2009/9/main" objectType="CheckBox" fmlaLink="Task_Data!$N$26" lockText="1" noThreeD="1"/>
</file>

<file path=xl/ctrlProps/ctrlProp751.xml><?xml version="1.0" encoding="utf-8"?>
<formControlPr xmlns="http://schemas.microsoft.com/office/spreadsheetml/2009/9/main" objectType="CheckBox" fmlaLink="Task_Data!$O$26" lockText="1" noThreeD="1"/>
</file>

<file path=xl/ctrlProps/ctrlProp752.xml><?xml version="1.0" encoding="utf-8"?>
<formControlPr xmlns="http://schemas.microsoft.com/office/spreadsheetml/2009/9/main" objectType="CheckBox" fmlaLink="Task_Data!$P$26" lockText="1" noThreeD="1"/>
</file>

<file path=xl/ctrlProps/ctrlProp753.xml><?xml version="1.0" encoding="utf-8"?>
<formControlPr xmlns="http://schemas.microsoft.com/office/spreadsheetml/2009/9/main" objectType="CheckBox" fmlaLink="Task_Data!$Q$26" lockText="1" noThreeD="1"/>
</file>

<file path=xl/ctrlProps/ctrlProp754.xml><?xml version="1.0" encoding="utf-8"?>
<formControlPr xmlns="http://schemas.microsoft.com/office/spreadsheetml/2009/9/main" objectType="CheckBox" fmlaLink="Task_Data!$R$26" lockText="1" noThreeD="1"/>
</file>

<file path=xl/ctrlProps/ctrlProp755.xml><?xml version="1.0" encoding="utf-8"?>
<formControlPr xmlns="http://schemas.microsoft.com/office/spreadsheetml/2009/9/main" objectType="CheckBox" fmlaLink="Task_Data!$S$26" lockText="1" noThreeD="1"/>
</file>

<file path=xl/ctrlProps/ctrlProp756.xml><?xml version="1.0" encoding="utf-8"?>
<formControlPr xmlns="http://schemas.microsoft.com/office/spreadsheetml/2009/9/main" objectType="CheckBox" fmlaLink="Task_Data!$T$26" lockText="1" noThreeD="1"/>
</file>

<file path=xl/ctrlProps/ctrlProp757.xml><?xml version="1.0" encoding="utf-8"?>
<formControlPr xmlns="http://schemas.microsoft.com/office/spreadsheetml/2009/9/main" objectType="CheckBox" fmlaLink="Task_Data!$U$26" lockText="1" noThreeD="1"/>
</file>

<file path=xl/ctrlProps/ctrlProp758.xml><?xml version="1.0" encoding="utf-8"?>
<formControlPr xmlns="http://schemas.microsoft.com/office/spreadsheetml/2009/9/main" objectType="CheckBox" fmlaLink="Task_Data!$V$26" lockText="1" noThreeD="1"/>
</file>

<file path=xl/ctrlProps/ctrlProp759.xml><?xml version="1.0" encoding="utf-8"?>
<formControlPr xmlns="http://schemas.microsoft.com/office/spreadsheetml/2009/9/main" objectType="CheckBox" fmlaLink="Task_Data!$W$26" lockText="1" noThreeD="1"/>
</file>

<file path=xl/ctrlProps/ctrlProp760.xml><?xml version="1.0" encoding="utf-8"?>
<formControlPr xmlns="http://schemas.microsoft.com/office/spreadsheetml/2009/9/main" objectType="CheckBox" fmlaLink="Task_Data!$X$26" lockText="1" noThreeD="1"/>
</file>

<file path=xl/ctrlProps/ctrlProp761.xml><?xml version="1.0" encoding="utf-8"?>
<formControlPr xmlns="http://schemas.microsoft.com/office/spreadsheetml/2009/9/main" objectType="CheckBox" fmlaLink="Task_Data!$Y$26" lockText="1" noThreeD="1"/>
</file>

<file path=xl/ctrlProps/ctrlProp762.xml><?xml version="1.0" encoding="utf-8"?>
<formControlPr xmlns="http://schemas.microsoft.com/office/spreadsheetml/2009/9/main" objectType="CheckBox" fmlaLink="Task_Data!$Z$26" lockText="1" noThreeD="1"/>
</file>

<file path=xl/ctrlProps/ctrlProp763.xml><?xml version="1.0" encoding="utf-8"?>
<formControlPr xmlns="http://schemas.microsoft.com/office/spreadsheetml/2009/9/main" objectType="CheckBox" fmlaLink="Task_Data!$AA$26" lockText="1" noThreeD="1"/>
</file>

<file path=xl/ctrlProps/ctrlProp764.xml><?xml version="1.0" encoding="utf-8"?>
<formControlPr xmlns="http://schemas.microsoft.com/office/spreadsheetml/2009/9/main" objectType="CheckBox" fmlaLink="Task_Data!$AB$26" lockText="1" noThreeD="1"/>
</file>

<file path=xl/ctrlProps/ctrlProp765.xml><?xml version="1.0" encoding="utf-8"?>
<formControlPr xmlns="http://schemas.microsoft.com/office/spreadsheetml/2009/9/main" objectType="CheckBox" fmlaLink="Task_Data!$AC$26" lockText="1" noThreeD="1"/>
</file>

<file path=xl/ctrlProps/ctrlProp766.xml><?xml version="1.0" encoding="utf-8"?>
<formControlPr xmlns="http://schemas.microsoft.com/office/spreadsheetml/2009/9/main" objectType="CheckBox" fmlaLink="Task_Data!$AD$26" lockText="1" noThreeD="1"/>
</file>

<file path=xl/ctrlProps/ctrlProp767.xml><?xml version="1.0" encoding="utf-8"?>
<formControlPr xmlns="http://schemas.microsoft.com/office/spreadsheetml/2009/9/main" objectType="CheckBox" fmlaLink="Task_Data!$AE$26" lockText="1" noThreeD="1"/>
</file>

<file path=xl/ctrlProps/ctrlProp768.xml><?xml version="1.0" encoding="utf-8"?>
<formControlPr xmlns="http://schemas.microsoft.com/office/spreadsheetml/2009/9/main" objectType="CheckBox" fmlaLink="Task_Data!$AF$26" lockText="1" noThreeD="1"/>
</file>

<file path=xl/ctrlProps/ctrlProp769.xml><?xml version="1.0" encoding="utf-8"?>
<formControlPr xmlns="http://schemas.microsoft.com/office/spreadsheetml/2009/9/main" objectType="CheckBox" fmlaLink="Task_Data!$AG$26" lockText="1" noThreeD="1"/>
</file>

<file path=xl/ctrlProps/ctrlProp770.xml><?xml version="1.0" encoding="utf-8"?>
<formControlPr xmlns="http://schemas.microsoft.com/office/spreadsheetml/2009/9/main" objectType="CheckBox" fmlaLink="Task_Data!$AH$26" lockText="1" noThreeD="1"/>
</file>

<file path=xl/ctrlProps/ctrlProp771.xml><?xml version="1.0" encoding="utf-8"?>
<formControlPr xmlns="http://schemas.microsoft.com/office/spreadsheetml/2009/9/main" objectType="CheckBox" fmlaLink="Task_Data!$AI$26" lockText="1" noThreeD="1"/>
</file>

<file path=xl/ctrlProps/ctrlProp772.xml><?xml version="1.0" encoding="utf-8"?>
<formControlPr xmlns="http://schemas.microsoft.com/office/spreadsheetml/2009/9/main" objectType="CheckBox" fmlaLink="Task_Data!$AJ$26" lockText="1" noThreeD="1"/>
</file>

<file path=xl/ctrlProps/ctrlProp773.xml><?xml version="1.0" encoding="utf-8"?>
<formControlPr xmlns="http://schemas.microsoft.com/office/spreadsheetml/2009/9/main" objectType="CheckBox" fmlaLink="Task_Data!$AK$26" lockText="1" noThreeD="1"/>
</file>

<file path=xl/ctrlProps/ctrlProp774.xml><?xml version="1.0" encoding="utf-8"?>
<formControlPr xmlns="http://schemas.microsoft.com/office/spreadsheetml/2009/9/main" objectType="CheckBox" fmlaLink="Task_Data!$AL$26" lockText="1" noThreeD="1"/>
</file>

<file path=xl/ctrlProps/ctrlProp775.xml><?xml version="1.0" encoding="utf-8"?>
<formControlPr xmlns="http://schemas.microsoft.com/office/spreadsheetml/2009/9/main" objectType="CheckBox" fmlaLink="Task_Data!$H$27" lockText="1" noThreeD="1"/>
</file>

<file path=xl/ctrlProps/ctrlProp776.xml><?xml version="1.0" encoding="utf-8"?>
<formControlPr xmlns="http://schemas.microsoft.com/office/spreadsheetml/2009/9/main" objectType="CheckBox" fmlaLink="Task_Data!$I$27" lockText="1" noThreeD="1"/>
</file>

<file path=xl/ctrlProps/ctrlProp777.xml><?xml version="1.0" encoding="utf-8"?>
<formControlPr xmlns="http://schemas.microsoft.com/office/spreadsheetml/2009/9/main" objectType="CheckBox" fmlaLink="Task_Data!$J$27" lockText="1" noThreeD="1"/>
</file>

<file path=xl/ctrlProps/ctrlProp778.xml><?xml version="1.0" encoding="utf-8"?>
<formControlPr xmlns="http://schemas.microsoft.com/office/spreadsheetml/2009/9/main" objectType="CheckBox" fmlaLink="Task_Data!$K$27" lockText="1" noThreeD="1"/>
</file>

<file path=xl/ctrlProps/ctrlProp779.xml><?xml version="1.0" encoding="utf-8"?>
<formControlPr xmlns="http://schemas.microsoft.com/office/spreadsheetml/2009/9/main" objectType="CheckBox" fmlaLink="Task_Data!$L$27" lockText="1" noThreeD="1"/>
</file>

<file path=xl/ctrlProps/ctrlProp780.xml><?xml version="1.0" encoding="utf-8"?>
<formControlPr xmlns="http://schemas.microsoft.com/office/spreadsheetml/2009/9/main" objectType="CheckBox" fmlaLink="Task_Data!$M$27" lockText="1" noThreeD="1"/>
</file>

<file path=xl/ctrlProps/ctrlProp781.xml><?xml version="1.0" encoding="utf-8"?>
<formControlPr xmlns="http://schemas.microsoft.com/office/spreadsheetml/2009/9/main" objectType="CheckBox" fmlaLink="Task_Data!$N$27" lockText="1" noThreeD="1"/>
</file>

<file path=xl/ctrlProps/ctrlProp782.xml><?xml version="1.0" encoding="utf-8"?>
<formControlPr xmlns="http://schemas.microsoft.com/office/spreadsheetml/2009/9/main" objectType="CheckBox" fmlaLink="Task_Data!$O$27" lockText="1" noThreeD="1"/>
</file>

<file path=xl/ctrlProps/ctrlProp783.xml><?xml version="1.0" encoding="utf-8"?>
<formControlPr xmlns="http://schemas.microsoft.com/office/spreadsheetml/2009/9/main" objectType="CheckBox" fmlaLink="Task_Data!$P$27" lockText="1" noThreeD="1"/>
</file>

<file path=xl/ctrlProps/ctrlProp784.xml><?xml version="1.0" encoding="utf-8"?>
<formControlPr xmlns="http://schemas.microsoft.com/office/spreadsheetml/2009/9/main" objectType="CheckBox" fmlaLink="Task_Data!$Q$27" lockText="1" noThreeD="1"/>
</file>

<file path=xl/ctrlProps/ctrlProp785.xml><?xml version="1.0" encoding="utf-8"?>
<formControlPr xmlns="http://schemas.microsoft.com/office/spreadsheetml/2009/9/main" objectType="CheckBox" fmlaLink="Task_Data!$R$27" lockText="1" noThreeD="1"/>
</file>

<file path=xl/ctrlProps/ctrlProp786.xml><?xml version="1.0" encoding="utf-8"?>
<formControlPr xmlns="http://schemas.microsoft.com/office/spreadsheetml/2009/9/main" objectType="CheckBox" fmlaLink="Task_Data!$S$27" lockText="1" noThreeD="1"/>
</file>

<file path=xl/ctrlProps/ctrlProp787.xml><?xml version="1.0" encoding="utf-8"?>
<formControlPr xmlns="http://schemas.microsoft.com/office/spreadsheetml/2009/9/main" objectType="CheckBox" fmlaLink="Task_Data!$T$27" lockText="1" noThreeD="1"/>
</file>

<file path=xl/ctrlProps/ctrlProp788.xml><?xml version="1.0" encoding="utf-8"?>
<formControlPr xmlns="http://schemas.microsoft.com/office/spreadsheetml/2009/9/main" objectType="CheckBox" fmlaLink="Task_Data!$U$27" lockText="1" noThreeD="1"/>
</file>

<file path=xl/ctrlProps/ctrlProp789.xml><?xml version="1.0" encoding="utf-8"?>
<formControlPr xmlns="http://schemas.microsoft.com/office/spreadsheetml/2009/9/main" objectType="CheckBox" fmlaLink="Task_Data!$V$27" lockText="1" noThreeD="1"/>
</file>

<file path=xl/ctrlProps/ctrlProp790.xml><?xml version="1.0" encoding="utf-8"?>
<formControlPr xmlns="http://schemas.microsoft.com/office/spreadsheetml/2009/9/main" objectType="CheckBox" fmlaLink="Task_Data!$W$27" lockText="1" noThreeD="1"/>
</file>

<file path=xl/ctrlProps/ctrlProp791.xml><?xml version="1.0" encoding="utf-8"?>
<formControlPr xmlns="http://schemas.microsoft.com/office/spreadsheetml/2009/9/main" objectType="CheckBox" fmlaLink="Task_Data!$X$27" lockText="1" noThreeD="1"/>
</file>

<file path=xl/ctrlProps/ctrlProp792.xml><?xml version="1.0" encoding="utf-8"?>
<formControlPr xmlns="http://schemas.microsoft.com/office/spreadsheetml/2009/9/main" objectType="CheckBox" fmlaLink="Task_Data!$Y$27" lockText="1" noThreeD="1"/>
</file>

<file path=xl/ctrlProps/ctrlProp793.xml><?xml version="1.0" encoding="utf-8"?>
<formControlPr xmlns="http://schemas.microsoft.com/office/spreadsheetml/2009/9/main" objectType="CheckBox" fmlaLink="Task_Data!$Z$27" lockText="1" noThreeD="1"/>
</file>

<file path=xl/ctrlProps/ctrlProp794.xml><?xml version="1.0" encoding="utf-8"?>
<formControlPr xmlns="http://schemas.microsoft.com/office/spreadsheetml/2009/9/main" objectType="CheckBox" fmlaLink="Task_Data!$AA$27" lockText="1" noThreeD="1"/>
</file>

<file path=xl/ctrlProps/ctrlProp795.xml><?xml version="1.0" encoding="utf-8"?>
<formControlPr xmlns="http://schemas.microsoft.com/office/spreadsheetml/2009/9/main" objectType="CheckBox" fmlaLink="Task_Data!$AB$27" lockText="1" noThreeD="1"/>
</file>

<file path=xl/ctrlProps/ctrlProp796.xml><?xml version="1.0" encoding="utf-8"?>
<formControlPr xmlns="http://schemas.microsoft.com/office/spreadsheetml/2009/9/main" objectType="CheckBox" fmlaLink="Task_Data!$AC$27" lockText="1" noThreeD="1"/>
</file>

<file path=xl/ctrlProps/ctrlProp797.xml><?xml version="1.0" encoding="utf-8"?>
<formControlPr xmlns="http://schemas.microsoft.com/office/spreadsheetml/2009/9/main" objectType="CheckBox" fmlaLink="Task_Data!$AD$27" lockText="1" noThreeD="1"/>
</file>

<file path=xl/ctrlProps/ctrlProp798.xml><?xml version="1.0" encoding="utf-8"?>
<formControlPr xmlns="http://schemas.microsoft.com/office/spreadsheetml/2009/9/main" objectType="CheckBox" fmlaLink="Task_Data!$AE$27" lockText="1" noThreeD="1"/>
</file>

<file path=xl/ctrlProps/ctrlProp799.xml><?xml version="1.0" encoding="utf-8"?>
<formControlPr xmlns="http://schemas.microsoft.com/office/spreadsheetml/2009/9/main" objectType="CheckBox" fmlaLink="Task_Data!$AF$27" lockText="1" noThreeD="1"/>
</file>

<file path=xl/ctrlProps/ctrlProp800.xml><?xml version="1.0" encoding="utf-8"?>
<formControlPr xmlns="http://schemas.microsoft.com/office/spreadsheetml/2009/9/main" objectType="CheckBox" fmlaLink="Task_Data!$AG$27" lockText="1" noThreeD="1"/>
</file>

<file path=xl/ctrlProps/ctrlProp801.xml><?xml version="1.0" encoding="utf-8"?>
<formControlPr xmlns="http://schemas.microsoft.com/office/spreadsheetml/2009/9/main" objectType="CheckBox" fmlaLink="Task_Data!$AH$27" lockText="1" noThreeD="1"/>
</file>

<file path=xl/ctrlProps/ctrlProp802.xml><?xml version="1.0" encoding="utf-8"?>
<formControlPr xmlns="http://schemas.microsoft.com/office/spreadsheetml/2009/9/main" objectType="CheckBox" fmlaLink="Task_Data!$AI$27" lockText="1" noThreeD="1"/>
</file>

<file path=xl/ctrlProps/ctrlProp803.xml><?xml version="1.0" encoding="utf-8"?>
<formControlPr xmlns="http://schemas.microsoft.com/office/spreadsheetml/2009/9/main" objectType="CheckBox" fmlaLink="Task_Data!$AJ$27" lockText="1" noThreeD="1"/>
</file>

<file path=xl/ctrlProps/ctrlProp804.xml><?xml version="1.0" encoding="utf-8"?>
<formControlPr xmlns="http://schemas.microsoft.com/office/spreadsheetml/2009/9/main" objectType="CheckBox" fmlaLink="Task_Data!$AK$27" lockText="1" noThreeD="1"/>
</file>

<file path=xl/ctrlProps/ctrlProp805.xml><?xml version="1.0" encoding="utf-8"?>
<formControlPr xmlns="http://schemas.microsoft.com/office/spreadsheetml/2009/9/main" objectType="CheckBox" fmlaLink="Task_Data!$AL$27" lockText="1" noThreeD="1"/>
</file>

<file path=xl/ctrlProps/ctrlProp806.xml><?xml version="1.0" encoding="utf-8"?>
<formControlPr xmlns="http://schemas.microsoft.com/office/spreadsheetml/2009/9/main" objectType="CheckBox" fmlaLink="Task_Data!$H$28" lockText="1" noThreeD="1"/>
</file>

<file path=xl/ctrlProps/ctrlProp807.xml><?xml version="1.0" encoding="utf-8"?>
<formControlPr xmlns="http://schemas.microsoft.com/office/spreadsheetml/2009/9/main" objectType="CheckBox" fmlaLink="Task_Data!$I$28" lockText="1" noThreeD="1"/>
</file>

<file path=xl/ctrlProps/ctrlProp808.xml><?xml version="1.0" encoding="utf-8"?>
<formControlPr xmlns="http://schemas.microsoft.com/office/spreadsheetml/2009/9/main" objectType="CheckBox" fmlaLink="Task_Data!$J$28" lockText="1" noThreeD="1"/>
</file>

<file path=xl/ctrlProps/ctrlProp809.xml><?xml version="1.0" encoding="utf-8"?>
<formControlPr xmlns="http://schemas.microsoft.com/office/spreadsheetml/2009/9/main" objectType="CheckBox" fmlaLink="Task_Data!$K$28" lockText="1" noThreeD="1"/>
</file>

<file path=xl/ctrlProps/ctrlProp810.xml><?xml version="1.0" encoding="utf-8"?>
<formControlPr xmlns="http://schemas.microsoft.com/office/spreadsheetml/2009/9/main" objectType="CheckBox" fmlaLink="Task_Data!$L$28" lockText="1" noThreeD="1"/>
</file>

<file path=xl/ctrlProps/ctrlProp811.xml><?xml version="1.0" encoding="utf-8"?>
<formControlPr xmlns="http://schemas.microsoft.com/office/spreadsheetml/2009/9/main" objectType="CheckBox" fmlaLink="Task_Data!$M$28" lockText="1" noThreeD="1"/>
</file>

<file path=xl/ctrlProps/ctrlProp812.xml><?xml version="1.0" encoding="utf-8"?>
<formControlPr xmlns="http://schemas.microsoft.com/office/spreadsheetml/2009/9/main" objectType="CheckBox" fmlaLink="Task_Data!$N$28" lockText="1" noThreeD="1"/>
</file>

<file path=xl/ctrlProps/ctrlProp813.xml><?xml version="1.0" encoding="utf-8"?>
<formControlPr xmlns="http://schemas.microsoft.com/office/spreadsheetml/2009/9/main" objectType="CheckBox" fmlaLink="Task_Data!$O$28" lockText="1" noThreeD="1"/>
</file>

<file path=xl/ctrlProps/ctrlProp814.xml><?xml version="1.0" encoding="utf-8"?>
<formControlPr xmlns="http://schemas.microsoft.com/office/spreadsheetml/2009/9/main" objectType="CheckBox" fmlaLink="Task_Data!$P$28" lockText="1" noThreeD="1"/>
</file>

<file path=xl/ctrlProps/ctrlProp815.xml><?xml version="1.0" encoding="utf-8"?>
<formControlPr xmlns="http://schemas.microsoft.com/office/spreadsheetml/2009/9/main" objectType="CheckBox" fmlaLink="Task_Data!$Q$28" lockText="1" noThreeD="1"/>
</file>

<file path=xl/ctrlProps/ctrlProp816.xml><?xml version="1.0" encoding="utf-8"?>
<formControlPr xmlns="http://schemas.microsoft.com/office/spreadsheetml/2009/9/main" objectType="CheckBox" fmlaLink="Task_Data!$R$28" lockText="1" noThreeD="1"/>
</file>

<file path=xl/ctrlProps/ctrlProp817.xml><?xml version="1.0" encoding="utf-8"?>
<formControlPr xmlns="http://schemas.microsoft.com/office/spreadsheetml/2009/9/main" objectType="CheckBox" fmlaLink="Task_Data!$S$28" lockText="1" noThreeD="1"/>
</file>

<file path=xl/ctrlProps/ctrlProp818.xml><?xml version="1.0" encoding="utf-8"?>
<formControlPr xmlns="http://schemas.microsoft.com/office/spreadsheetml/2009/9/main" objectType="CheckBox" fmlaLink="Task_Data!$T$28" lockText="1" noThreeD="1"/>
</file>

<file path=xl/ctrlProps/ctrlProp819.xml><?xml version="1.0" encoding="utf-8"?>
<formControlPr xmlns="http://schemas.microsoft.com/office/spreadsheetml/2009/9/main" objectType="CheckBox" fmlaLink="Task_Data!$U$28" lockText="1" noThreeD="1"/>
</file>

<file path=xl/ctrlProps/ctrlProp820.xml><?xml version="1.0" encoding="utf-8"?>
<formControlPr xmlns="http://schemas.microsoft.com/office/spreadsheetml/2009/9/main" objectType="CheckBox" fmlaLink="Task_Data!$V$28" lockText="1" noThreeD="1"/>
</file>

<file path=xl/ctrlProps/ctrlProp821.xml><?xml version="1.0" encoding="utf-8"?>
<formControlPr xmlns="http://schemas.microsoft.com/office/spreadsheetml/2009/9/main" objectType="CheckBox" fmlaLink="Task_Data!$W$28" lockText="1" noThreeD="1"/>
</file>

<file path=xl/ctrlProps/ctrlProp822.xml><?xml version="1.0" encoding="utf-8"?>
<formControlPr xmlns="http://schemas.microsoft.com/office/spreadsheetml/2009/9/main" objectType="CheckBox" fmlaLink="Task_Data!$X$28" lockText="1" noThreeD="1"/>
</file>

<file path=xl/ctrlProps/ctrlProp823.xml><?xml version="1.0" encoding="utf-8"?>
<formControlPr xmlns="http://schemas.microsoft.com/office/spreadsheetml/2009/9/main" objectType="CheckBox" fmlaLink="Task_Data!$Y$28" lockText="1" noThreeD="1"/>
</file>

<file path=xl/ctrlProps/ctrlProp824.xml><?xml version="1.0" encoding="utf-8"?>
<formControlPr xmlns="http://schemas.microsoft.com/office/spreadsheetml/2009/9/main" objectType="CheckBox" fmlaLink="Task_Data!$Z$28" lockText="1" noThreeD="1"/>
</file>

<file path=xl/ctrlProps/ctrlProp825.xml><?xml version="1.0" encoding="utf-8"?>
<formControlPr xmlns="http://schemas.microsoft.com/office/spreadsheetml/2009/9/main" objectType="CheckBox" fmlaLink="Task_Data!$AA$28" lockText="1" noThreeD="1"/>
</file>

<file path=xl/ctrlProps/ctrlProp826.xml><?xml version="1.0" encoding="utf-8"?>
<formControlPr xmlns="http://schemas.microsoft.com/office/spreadsheetml/2009/9/main" objectType="CheckBox" fmlaLink="Task_Data!$AB$28" lockText="1" noThreeD="1"/>
</file>

<file path=xl/ctrlProps/ctrlProp827.xml><?xml version="1.0" encoding="utf-8"?>
<formControlPr xmlns="http://schemas.microsoft.com/office/spreadsheetml/2009/9/main" objectType="CheckBox" fmlaLink="Task_Data!$AC$28" lockText="1" noThreeD="1"/>
</file>

<file path=xl/ctrlProps/ctrlProp828.xml><?xml version="1.0" encoding="utf-8"?>
<formControlPr xmlns="http://schemas.microsoft.com/office/spreadsheetml/2009/9/main" objectType="CheckBox" fmlaLink="Task_Data!$AD$28" lockText="1" noThreeD="1"/>
</file>

<file path=xl/ctrlProps/ctrlProp829.xml><?xml version="1.0" encoding="utf-8"?>
<formControlPr xmlns="http://schemas.microsoft.com/office/spreadsheetml/2009/9/main" objectType="CheckBox" fmlaLink="Task_Data!$AE$28" lockText="1" noThreeD="1"/>
</file>

<file path=xl/ctrlProps/ctrlProp830.xml><?xml version="1.0" encoding="utf-8"?>
<formControlPr xmlns="http://schemas.microsoft.com/office/spreadsheetml/2009/9/main" objectType="CheckBox" fmlaLink="Task_Data!$AF$28" lockText="1" noThreeD="1"/>
</file>

<file path=xl/ctrlProps/ctrlProp831.xml><?xml version="1.0" encoding="utf-8"?>
<formControlPr xmlns="http://schemas.microsoft.com/office/spreadsheetml/2009/9/main" objectType="CheckBox" fmlaLink="Task_Data!$AG$28" lockText="1" noThreeD="1"/>
</file>

<file path=xl/ctrlProps/ctrlProp832.xml><?xml version="1.0" encoding="utf-8"?>
<formControlPr xmlns="http://schemas.microsoft.com/office/spreadsheetml/2009/9/main" objectType="CheckBox" fmlaLink="Task_Data!$AH$28" lockText="1" noThreeD="1"/>
</file>

<file path=xl/ctrlProps/ctrlProp833.xml><?xml version="1.0" encoding="utf-8"?>
<formControlPr xmlns="http://schemas.microsoft.com/office/spreadsheetml/2009/9/main" objectType="CheckBox" fmlaLink="Task_Data!$AI$28" lockText="1" noThreeD="1"/>
</file>

<file path=xl/ctrlProps/ctrlProp834.xml><?xml version="1.0" encoding="utf-8"?>
<formControlPr xmlns="http://schemas.microsoft.com/office/spreadsheetml/2009/9/main" objectType="CheckBox" fmlaLink="Task_Data!$AJ$28" lockText="1" noThreeD="1"/>
</file>

<file path=xl/ctrlProps/ctrlProp835.xml><?xml version="1.0" encoding="utf-8"?>
<formControlPr xmlns="http://schemas.microsoft.com/office/spreadsheetml/2009/9/main" objectType="CheckBox" fmlaLink="Task_Data!$AK$28" lockText="1" noThreeD="1"/>
</file>

<file path=xl/ctrlProps/ctrlProp836.xml><?xml version="1.0" encoding="utf-8"?>
<formControlPr xmlns="http://schemas.microsoft.com/office/spreadsheetml/2009/9/main" objectType="CheckBox" fmlaLink="Task_Data!$AL$28" lockText="1" noThreeD="1"/>
</file>

<file path=xl/ctrlProps/ctrlProp837.xml><?xml version="1.0" encoding="utf-8"?>
<formControlPr xmlns="http://schemas.microsoft.com/office/spreadsheetml/2009/9/main" objectType="CheckBox" fmlaLink="Task_Data!$H$29" lockText="1" noThreeD="1"/>
</file>

<file path=xl/ctrlProps/ctrlProp838.xml><?xml version="1.0" encoding="utf-8"?>
<formControlPr xmlns="http://schemas.microsoft.com/office/spreadsheetml/2009/9/main" objectType="CheckBox" fmlaLink="Task_Data!$I$29" lockText="1" noThreeD="1"/>
</file>

<file path=xl/ctrlProps/ctrlProp839.xml><?xml version="1.0" encoding="utf-8"?>
<formControlPr xmlns="http://schemas.microsoft.com/office/spreadsheetml/2009/9/main" objectType="CheckBox" fmlaLink="Task_Data!$J$29" lockText="1" noThreeD="1"/>
</file>

<file path=xl/ctrlProps/ctrlProp840.xml><?xml version="1.0" encoding="utf-8"?>
<formControlPr xmlns="http://schemas.microsoft.com/office/spreadsheetml/2009/9/main" objectType="CheckBox" fmlaLink="Task_Data!$K$29" lockText="1" noThreeD="1"/>
</file>

<file path=xl/ctrlProps/ctrlProp841.xml><?xml version="1.0" encoding="utf-8"?>
<formControlPr xmlns="http://schemas.microsoft.com/office/spreadsheetml/2009/9/main" objectType="CheckBox" fmlaLink="Task_Data!$L$29" lockText="1" noThreeD="1"/>
</file>

<file path=xl/ctrlProps/ctrlProp842.xml><?xml version="1.0" encoding="utf-8"?>
<formControlPr xmlns="http://schemas.microsoft.com/office/spreadsheetml/2009/9/main" objectType="CheckBox" fmlaLink="Task_Data!$M$29" lockText="1" noThreeD="1"/>
</file>

<file path=xl/ctrlProps/ctrlProp843.xml><?xml version="1.0" encoding="utf-8"?>
<formControlPr xmlns="http://schemas.microsoft.com/office/spreadsheetml/2009/9/main" objectType="CheckBox" fmlaLink="Task_Data!$N$29" lockText="1" noThreeD="1"/>
</file>

<file path=xl/ctrlProps/ctrlProp844.xml><?xml version="1.0" encoding="utf-8"?>
<formControlPr xmlns="http://schemas.microsoft.com/office/spreadsheetml/2009/9/main" objectType="CheckBox" fmlaLink="Task_Data!$O$29" lockText="1" noThreeD="1"/>
</file>

<file path=xl/ctrlProps/ctrlProp845.xml><?xml version="1.0" encoding="utf-8"?>
<formControlPr xmlns="http://schemas.microsoft.com/office/spreadsheetml/2009/9/main" objectType="CheckBox" fmlaLink="Task_Data!$P$29" lockText="1" noThreeD="1"/>
</file>

<file path=xl/ctrlProps/ctrlProp846.xml><?xml version="1.0" encoding="utf-8"?>
<formControlPr xmlns="http://schemas.microsoft.com/office/spreadsheetml/2009/9/main" objectType="CheckBox" fmlaLink="Task_Data!$Q$29" lockText="1" noThreeD="1"/>
</file>

<file path=xl/ctrlProps/ctrlProp847.xml><?xml version="1.0" encoding="utf-8"?>
<formControlPr xmlns="http://schemas.microsoft.com/office/spreadsheetml/2009/9/main" objectType="CheckBox" fmlaLink="Task_Data!$R$29" lockText="1" noThreeD="1"/>
</file>

<file path=xl/ctrlProps/ctrlProp848.xml><?xml version="1.0" encoding="utf-8"?>
<formControlPr xmlns="http://schemas.microsoft.com/office/spreadsheetml/2009/9/main" objectType="CheckBox" fmlaLink="Task_Data!$S$29" lockText="1" noThreeD="1"/>
</file>

<file path=xl/ctrlProps/ctrlProp849.xml><?xml version="1.0" encoding="utf-8"?>
<formControlPr xmlns="http://schemas.microsoft.com/office/spreadsheetml/2009/9/main" objectType="CheckBox" fmlaLink="Task_Data!$T$29" lockText="1" noThreeD="1"/>
</file>

<file path=xl/ctrlProps/ctrlProp850.xml><?xml version="1.0" encoding="utf-8"?>
<formControlPr xmlns="http://schemas.microsoft.com/office/spreadsheetml/2009/9/main" objectType="CheckBox" fmlaLink="Task_Data!$U$29" lockText="1" noThreeD="1"/>
</file>

<file path=xl/ctrlProps/ctrlProp851.xml><?xml version="1.0" encoding="utf-8"?>
<formControlPr xmlns="http://schemas.microsoft.com/office/spreadsheetml/2009/9/main" objectType="CheckBox" fmlaLink="Task_Data!$V$29" lockText="1" noThreeD="1"/>
</file>

<file path=xl/ctrlProps/ctrlProp852.xml><?xml version="1.0" encoding="utf-8"?>
<formControlPr xmlns="http://schemas.microsoft.com/office/spreadsheetml/2009/9/main" objectType="CheckBox" fmlaLink="Task_Data!$W$29" lockText="1" noThreeD="1"/>
</file>

<file path=xl/ctrlProps/ctrlProp853.xml><?xml version="1.0" encoding="utf-8"?>
<formControlPr xmlns="http://schemas.microsoft.com/office/spreadsheetml/2009/9/main" objectType="CheckBox" fmlaLink="Task_Data!$X$29" lockText="1" noThreeD="1"/>
</file>

<file path=xl/ctrlProps/ctrlProp854.xml><?xml version="1.0" encoding="utf-8"?>
<formControlPr xmlns="http://schemas.microsoft.com/office/spreadsheetml/2009/9/main" objectType="CheckBox" fmlaLink="Task_Data!$Y$29" lockText="1" noThreeD="1"/>
</file>

<file path=xl/ctrlProps/ctrlProp855.xml><?xml version="1.0" encoding="utf-8"?>
<formControlPr xmlns="http://schemas.microsoft.com/office/spreadsheetml/2009/9/main" objectType="CheckBox" fmlaLink="Task_Data!$Z$29" lockText="1" noThreeD="1"/>
</file>

<file path=xl/ctrlProps/ctrlProp856.xml><?xml version="1.0" encoding="utf-8"?>
<formControlPr xmlns="http://schemas.microsoft.com/office/spreadsheetml/2009/9/main" objectType="CheckBox" fmlaLink="Task_Data!$AA$29" lockText="1" noThreeD="1"/>
</file>

<file path=xl/ctrlProps/ctrlProp857.xml><?xml version="1.0" encoding="utf-8"?>
<formControlPr xmlns="http://schemas.microsoft.com/office/spreadsheetml/2009/9/main" objectType="CheckBox" fmlaLink="Task_Data!$AB$29" lockText="1" noThreeD="1"/>
</file>

<file path=xl/ctrlProps/ctrlProp858.xml><?xml version="1.0" encoding="utf-8"?>
<formControlPr xmlns="http://schemas.microsoft.com/office/spreadsheetml/2009/9/main" objectType="CheckBox" fmlaLink="Task_Data!$AC$29" lockText="1" noThreeD="1"/>
</file>

<file path=xl/ctrlProps/ctrlProp859.xml><?xml version="1.0" encoding="utf-8"?>
<formControlPr xmlns="http://schemas.microsoft.com/office/spreadsheetml/2009/9/main" objectType="CheckBox" fmlaLink="Task_Data!$AD$29" lockText="1" noThreeD="1"/>
</file>

<file path=xl/ctrlProps/ctrlProp860.xml><?xml version="1.0" encoding="utf-8"?>
<formControlPr xmlns="http://schemas.microsoft.com/office/spreadsheetml/2009/9/main" objectType="CheckBox" fmlaLink="Task_Data!$AE$29" lockText="1" noThreeD="1"/>
</file>

<file path=xl/ctrlProps/ctrlProp861.xml><?xml version="1.0" encoding="utf-8"?>
<formControlPr xmlns="http://schemas.microsoft.com/office/spreadsheetml/2009/9/main" objectType="CheckBox" fmlaLink="Task_Data!$AF$29" lockText="1" noThreeD="1"/>
</file>

<file path=xl/ctrlProps/ctrlProp862.xml><?xml version="1.0" encoding="utf-8"?>
<formControlPr xmlns="http://schemas.microsoft.com/office/spreadsheetml/2009/9/main" objectType="CheckBox" fmlaLink="Task_Data!$AG$29" lockText="1" noThreeD="1"/>
</file>

<file path=xl/ctrlProps/ctrlProp863.xml><?xml version="1.0" encoding="utf-8"?>
<formControlPr xmlns="http://schemas.microsoft.com/office/spreadsheetml/2009/9/main" objectType="CheckBox" fmlaLink="Task_Data!$AH$29" lockText="1" noThreeD="1"/>
</file>

<file path=xl/ctrlProps/ctrlProp864.xml><?xml version="1.0" encoding="utf-8"?>
<formControlPr xmlns="http://schemas.microsoft.com/office/spreadsheetml/2009/9/main" objectType="CheckBox" fmlaLink="Task_Data!$AI$29" lockText="1" noThreeD="1"/>
</file>

<file path=xl/ctrlProps/ctrlProp865.xml><?xml version="1.0" encoding="utf-8"?>
<formControlPr xmlns="http://schemas.microsoft.com/office/spreadsheetml/2009/9/main" objectType="CheckBox" fmlaLink="Task_Data!$AJ$29" lockText="1" noThreeD="1"/>
</file>

<file path=xl/ctrlProps/ctrlProp866.xml><?xml version="1.0" encoding="utf-8"?>
<formControlPr xmlns="http://schemas.microsoft.com/office/spreadsheetml/2009/9/main" objectType="CheckBox" fmlaLink="Task_Data!$AK$29" lockText="1" noThreeD="1"/>
</file>

<file path=xl/ctrlProps/ctrlProp867.xml><?xml version="1.0" encoding="utf-8"?>
<formControlPr xmlns="http://schemas.microsoft.com/office/spreadsheetml/2009/9/main" objectType="CheckBox" fmlaLink="Task_Data!$AL$29" lockText="1" noThreeD="1"/>
</file>

<file path=xl/ctrlProps/ctrlProp868.xml><?xml version="1.0" encoding="utf-8"?>
<formControlPr xmlns="http://schemas.microsoft.com/office/spreadsheetml/2009/9/main" objectType="CheckBox" fmlaLink="Task_Data!$H$30" lockText="1" noThreeD="1"/>
</file>

<file path=xl/ctrlProps/ctrlProp869.xml><?xml version="1.0" encoding="utf-8"?>
<formControlPr xmlns="http://schemas.microsoft.com/office/spreadsheetml/2009/9/main" objectType="CheckBox" fmlaLink="Task_Data!$I$30" lockText="1" noThreeD="1"/>
</file>

<file path=xl/ctrlProps/ctrlProp870.xml><?xml version="1.0" encoding="utf-8"?>
<formControlPr xmlns="http://schemas.microsoft.com/office/spreadsheetml/2009/9/main" objectType="CheckBox" fmlaLink="Task_Data!$J$30" lockText="1" noThreeD="1"/>
</file>

<file path=xl/ctrlProps/ctrlProp871.xml><?xml version="1.0" encoding="utf-8"?>
<formControlPr xmlns="http://schemas.microsoft.com/office/spreadsheetml/2009/9/main" objectType="CheckBox" fmlaLink="Task_Data!$K$30" lockText="1" noThreeD="1"/>
</file>

<file path=xl/ctrlProps/ctrlProp872.xml><?xml version="1.0" encoding="utf-8"?>
<formControlPr xmlns="http://schemas.microsoft.com/office/spreadsheetml/2009/9/main" objectType="CheckBox" fmlaLink="Task_Data!$L$30" lockText="1" noThreeD="1"/>
</file>

<file path=xl/ctrlProps/ctrlProp873.xml><?xml version="1.0" encoding="utf-8"?>
<formControlPr xmlns="http://schemas.microsoft.com/office/spreadsheetml/2009/9/main" objectType="CheckBox" fmlaLink="Task_Data!$M$30" lockText="1" noThreeD="1"/>
</file>

<file path=xl/ctrlProps/ctrlProp874.xml><?xml version="1.0" encoding="utf-8"?>
<formControlPr xmlns="http://schemas.microsoft.com/office/spreadsheetml/2009/9/main" objectType="CheckBox" fmlaLink="Task_Data!$N$30" lockText="1" noThreeD="1"/>
</file>

<file path=xl/ctrlProps/ctrlProp875.xml><?xml version="1.0" encoding="utf-8"?>
<formControlPr xmlns="http://schemas.microsoft.com/office/spreadsheetml/2009/9/main" objectType="CheckBox" fmlaLink="Task_Data!$O$30" lockText="1" noThreeD="1"/>
</file>

<file path=xl/ctrlProps/ctrlProp876.xml><?xml version="1.0" encoding="utf-8"?>
<formControlPr xmlns="http://schemas.microsoft.com/office/spreadsheetml/2009/9/main" objectType="CheckBox" fmlaLink="Task_Data!$P$30" lockText="1" noThreeD="1"/>
</file>

<file path=xl/ctrlProps/ctrlProp877.xml><?xml version="1.0" encoding="utf-8"?>
<formControlPr xmlns="http://schemas.microsoft.com/office/spreadsheetml/2009/9/main" objectType="CheckBox" fmlaLink="Task_Data!$Q$30" lockText="1" noThreeD="1"/>
</file>

<file path=xl/ctrlProps/ctrlProp878.xml><?xml version="1.0" encoding="utf-8"?>
<formControlPr xmlns="http://schemas.microsoft.com/office/spreadsheetml/2009/9/main" objectType="CheckBox" fmlaLink="Task_Data!$R$30" lockText="1" noThreeD="1"/>
</file>

<file path=xl/ctrlProps/ctrlProp879.xml><?xml version="1.0" encoding="utf-8"?>
<formControlPr xmlns="http://schemas.microsoft.com/office/spreadsheetml/2009/9/main" objectType="CheckBox" fmlaLink="Task_Data!$S$30" lockText="1" noThreeD="1"/>
</file>

<file path=xl/ctrlProps/ctrlProp880.xml><?xml version="1.0" encoding="utf-8"?>
<formControlPr xmlns="http://schemas.microsoft.com/office/spreadsheetml/2009/9/main" objectType="CheckBox" fmlaLink="Task_Data!$T$30" lockText="1" noThreeD="1"/>
</file>

<file path=xl/ctrlProps/ctrlProp881.xml><?xml version="1.0" encoding="utf-8"?>
<formControlPr xmlns="http://schemas.microsoft.com/office/spreadsheetml/2009/9/main" objectType="CheckBox" fmlaLink="Task_Data!$U$30" lockText="1" noThreeD="1"/>
</file>

<file path=xl/ctrlProps/ctrlProp882.xml><?xml version="1.0" encoding="utf-8"?>
<formControlPr xmlns="http://schemas.microsoft.com/office/spreadsheetml/2009/9/main" objectType="CheckBox" fmlaLink="Task_Data!$V$30" lockText="1" noThreeD="1"/>
</file>

<file path=xl/ctrlProps/ctrlProp883.xml><?xml version="1.0" encoding="utf-8"?>
<formControlPr xmlns="http://schemas.microsoft.com/office/spreadsheetml/2009/9/main" objectType="CheckBox" fmlaLink="Task_Data!$W$30" lockText="1" noThreeD="1"/>
</file>

<file path=xl/ctrlProps/ctrlProp884.xml><?xml version="1.0" encoding="utf-8"?>
<formControlPr xmlns="http://schemas.microsoft.com/office/spreadsheetml/2009/9/main" objectType="CheckBox" fmlaLink="Task_Data!$X$30" lockText="1" noThreeD="1"/>
</file>

<file path=xl/ctrlProps/ctrlProp885.xml><?xml version="1.0" encoding="utf-8"?>
<formControlPr xmlns="http://schemas.microsoft.com/office/spreadsheetml/2009/9/main" objectType="CheckBox" fmlaLink="Task_Data!$Y$30" lockText="1" noThreeD="1"/>
</file>

<file path=xl/ctrlProps/ctrlProp886.xml><?xml version="1.0" encoding="utf-8"?>
<formControlPr xmlns="http://schemas.microsoft.com/office/spreadsheetml/2009/9/main" objectType="CheckBox" fmlaLink="Task_Data!$Z$30" lockText="1" noThreeD="1"/>
</file>

<file path=xl/ctrlProps/ctrlProp887.xml><?xml version="1.0" encoding="utf-8"?>
<formControlPr xmlns="http://schemas.microsoft.com/office/spreadsheetml/2009/9/main" objectType="CheckBox" fmlaLink="Task_Data!$AA$30" lockText="1" noThreeD="1"/>
</file>

<file path=xl/ctrlProps/ctrlProp888.xml><?xml version="1.0" encoding="utf-8"?>
<formControlPr xmlns="http://schemas.microsoft.com/office/spreadsheetml/2009/9/main" objectType="CheckBox" fmlaLink="Task_Data!$AB$30" lockText="1" noThreeD="1"/>
</file>

<file path=xl/ctrlProps/ctrlProp889.xml><?xml version="1.0" encoding="utf-8"?>
<formControlPr xmlns="http://schemas.microsoft.com/office/spreadsheetml/2009/9/main" objectType="CheckBox" fmlaLink="Task_Data!$AC$30" lockText="1" noThreeD="1"/>
</file>

<file path=xl/ctrlProps/ctrlProp890.xml><?xml version="1.0" encoding="utf-8"?>
<formControlPr xmlns="http://schemas.microsoft.com/office/spreadsheetml/2009/9/main" objectType="CheckBox" fmlaLink="Task_Data!$AD$30" lockText="1" noThreeD="1"/>
</file>

<file path=xl/ctrlProps/ctrlProp891.xml><?xml version="1.0" encoding="utf-8"?>
<formControlPr xmlns="http://schemas.microsoft.com/office/spreadsheetml/2009/9/main" objectType="CheckBox" fmlaLink="Task_Data!$AE$30" lockText="1" noThreeD="1"/>
</file>

<file path=xl/ctrlProps/ctrlProp892.xml><?xml version="1.0" encoding="utf-8"?>
<formControlPr xmlns="http://schemas.microsoft.com/office/spreadsheetml/2009/9/main" objectType="CheckBox" fmlaLink="Task_Data!$AF$30" lockText="1" noThreeD="1"/>
</file>

<file path=xl/ctrlProps/ctrlProp893.xml><?xml version="1.0" encoding="utf-8"?>
<formControlPr xmlns="http://schemas.microsoft.com/office/spreadsheetml/2009/9/main" objectType="CheckBox" fmlaLink="Task_Data!$AG$30" lockText="1" noThreeD="1"/>
</file>

<file path=xl/ctrlProps/ctrlProp894.xml><?xml version="1.0" encoding="utf-8"?>
<formControlPr xmlns="http://schemas.microsoft.com/office/spreadsheetml/2009/9/main" objectType="CheckBox" fmlaLink="Task_Data!$AH$30" lockText="1" noThreeD="1"/>
</file>

<file path=xl/ctrlProps/ctrlProp895.xml><?xml version="1.0" encoding="utf-8"?>
<formControlPr xmlns="http://schemas.microsoft.com/office/spreadsheetml/2009/9/main" objectType="CheckBox" fmlaLink="Task_Data!$AI$30" lockText="1" noThreeD="1"/>
</file>

<file path=xl/ctrlProps/ctrlProp896.xml><?xml version="1.0" encoding="utf-8"?>
<formControlPr xmlns="http://schemas.microsoft.com/office/spreadsheetml/2009/9/main" objectType="CheckBox" fmlaLink="Task_Data!$AJ$30" lockText="1" noThreeD="1"/>
</file>

<file path=xl/ctrlProps/ctrlProp897.xml><?xml version="1.0" encoding="utf-8"?>
<formControlPr xmlns="http://schemas.microsoft.com/office/spreadsheetml/2009/9/main" objectType="CheckBox" fmlaLink="Task_Data!$AK$30" lockText="1" noThreeD="1"/>
</file>

<file path=xl/ctrlProps/ctrlProp898.xml><?xml version="1.0" encoding="utf-8"?>
<formControlPr xmlns="http://schemas.microsoft.com/office/spreadsheetml/2009/9/main" objectType="CheckBox" fmlaLink="Task_Data!$AL$30" lockText="1" noThreeD="1"/>
</file>

<file path=xl/ctrlProps/ctrlProp899.xml><?xml version="1.0" encoding="utf-8"?>
<formControlPr xmlns="http://schemas.microsoft.com/office/spreadsheetml/2009/9/main" objectType="CheckBox" fmlaLink="Task_Data!$H$31" lockText="1" noThreeD="1"/>
</file>

<file path=xl/ctrlProps/ctrlProp900.xml><?xml version="1.0" encoding="utf-8"?>
<formControlPr xmlns="http://schemas.microsoft.com/office/spreadsheetml/2009/9/main" objectType="CheckBox" fmlaLink="Task_Data!$I$31" lockText="1" noThreeD="1"/>
</file>

<file path=xl/ctrlProps/ctrlProp901.xml><?xml version="1.0" encoding="utf-8"?>
<formControlPr xmlns="http://schemas.microsoft.com/office/spreadsheetml/2009/9/main" objectType="CheckBox" fmlaLink="Task_Data!$J$31" lockText="1" noThreeD="1"/>
</file>

<file path=xl/ctrlProps/ctrlProp902.xml><?xml version="1.0" encoding="utf-8"?>
<formControlPr xmlns="http://schemas.microsoft.com/office/spreadsheetml/2009/9/main" objectType="CheckBox" fmlaLink="Task_Data!$K$31" lockText="1" noThreeD="1"/>
</file>

<file path=xl/ctrlProps/ctrlProp903.xml><?xml version="1.0" encoding="utf-8"?>
<formControlPr xmlns="http://schemas.microsoft.com/office/spreadsheetml/2009/9/main" objectType="CheckBox" fmlaLink="Task_Data!$L$31" lockText="1" noThreeD="1"/>
</file>

<file path=xl/ctrlProps/ctrlProp904.xml><?xml version="1.0" encoding="utf-8"?>
<formControlPr xmlns="http://schemas.microsoft.com/office/spreadsheetml/2009/9/main" objectType="CheckBox" fmlaLink="Task_Data!$M$31" lockText="1" noThreeD="1"/>
</file>

<file path=xl/ctrlProps/ctrlProp905.xml><?xml version="1.0" encoding="utf-8"?>
<formControlPr xmlns="http://schemas.microsoft.com/office/spreadsheetml/2009/9/main" objectType="CheckBox" fmlaLink="Task_Data!$N$31" lockText="1" noThreeD="1"/>
</file>

<file path=xl/ctrlProps/ctrlProp906.xml><?xml version="1.0" encoding="utf-8"?>
<formControlPr xmlns="http://schemas.microsoft.com/office/spreadsheetml/2009/9/main" objectType="CheckBox" fmlaLink="Task_Data!$O$31" lockText="1" noThreeD="1"/>
</file>

<file path=xl/ctrlProps/ctrlProp907.xml><?xml version="1.0" encoding="utf-8"?>
<formControlPr xmlns="http://schemas.microsoft.com/office/spreadsheetml/2009/9/main" objectType="CheckBox" fmlaLink="Task_Data!$P$31" lockText="1" noThreeD="1"/>
</file>

<file path=xl/ctrlProps/ctrlProp908.xml><?xml version="1.0" encoding="utf-8"?>
<formControlPr xmlns="http://schemas.microsoft.com/office/spreadsheetml/2009/9/main" objectType="CheckBox" fmlaLink="Task_Data!$Q$31" lockText="1" noThreeD="1"/>
</file>

<file path=xl/ctrlProps/ctrlProp909.xml><?xml version="1.0" encoding="utf-8"?>
<formControlPr xmlns="http://schemas.microsoft.com/office/spreadsheetml/2009/9/main" objectType="CheckBox" fmlaLink="Task_Data!$R$31" lockText="1" noThreeD="1"/>
</file>

<file path=xl/ctrlProps/ctrlProp910.xml><?xml version="1.0" encoding="utf-8"?>
<formControlPr xmlns="http://schemas.microsoft.com/office/spreadsheetml/2009/9/main" objectType="CheckBox" fmlaLink="Task_Data!$S$31" lockText="1" noThreeD="1"/>
</file>

<file path=xl/ctrlProps/ctrlProp911.xml><?xml version="1.0" encoding="utf-8"?>
<formControlPr xmlns="http://schemas.microsoft.com/office/spreadsheetml/2009/9/main" objectType="CheckBox" fmlaLink="Task_Data!$T$31" lockText="1" noThreeD="1"/>
</file>

<file path=xl/ctrlProps/ctrlProp912.xml><?xml version="1.0" encoding="utf-8"?>
<formControlPr xmlns="http://schemas.microsoft.com/office/spreadsheetml/2009/9/main" objectType="CheckBox" fmlaLink="Task_Data!$U$31" lockText="1" noThreeD="1"/>
</file>

<file path=xl/ctrlProps/ctrlProp913.xml><?xml version="1.0" encoding="utf-8"?>
<formControlPr xmlns="http://schemas.microsoft.com/office/spreadsheetml/2009/9/main" objectType="CheckBox" fmlaLink="Task_Data!$V$31" lockText="1" noThreeD="1"/>
</file>

<file path=xl/ctrlProps/ctrlProp914.xml><?xml version="1.0" encoding="utf-8"?>
<formControlPr xmlns="http://schemas.microsoft.com/office/spreadsheetml/2009/9/main" objectType="CheckBox" fmlaLink="Task_Data!$W$31" lockText="1" noThreeD="1"/>
</file>

<file path=xl/ctrlProps/ctrlProp915.xml><?xml version="1.0" encoding="utf-8"?>
<formControlPr xmlns="http://schemas.microsoft.com/office/spreadsheetml/2009/9/main" objectType="CheckBox" fmlaLink="Task_Data!$X$31" lockText="1" noThreeD="1"/>
</file>

<file path=xl/ctrlProps/ctrlProp916.xml><?xml version="1.0" encoding="utf-8"?>
<formControlPr xmlns="http://schemas.microsoft.com/office/spreadsheetml/2009/9/main" objectType="CheckBox" fmlaLink="Task_Data!$Y$31" lockText="1" noThreeD="1"/>
</file>

<file path=xl/ctrlProps/ctrlProp917.xml><?xml version="1.0" encoding="utf-8"?>
<formControlPr xmlns="http://schemas.microsoft.com/office/spreadsheetml/2009/9/main" objectType="CheckBox" fmlaLink="Task_Data!$Z$31" lockText="1" noThreeD="1"/>
</file>

<file path=xl/ctrlProps/ctrlProp918.xml><?xml version="1.0" encoding="utf-8"?>
<formControlPr xmlns="http://schemas.microsoft.com/office/spreadsheetml/2009/9/main" objectType="CheckBox" fmlaLink="Task_Data!$AA$31" lockText="1" noThreeD="1"/>
</file>

<file path=xl/ctrlProps/ctrlProp919.xml><?xml version="1.0" encoding="utf-8"?>
<formControlPr xmlns="http://schemas.microsoft.com/office/spreadsheetml/2009/9/main" objectType="CheckBox" fmlaLink="Task_Data!$AB$31" lockText="1" noThreeD="1"/>
</file>

<file path=xl/ctrlProps/ctrlProp920.xml><?xml version="1.0" encoding="utf-8"?>
<formControlPr xmlns="http://schemas.microsoft.com/office/spreadsheetml/2009/9/main" objectType="CheckBox" fmlaLink="Task_Data!$AC$31" lockText="1" noThreeD="1"/>
</file>

<file path=xl/ctrlProps/ctrlProp921.xml><?xml version="1.0" encoding="utf-8"?>
<formControlPr xmlns="http://schemas.microsoft.com/office/spreadsheetml/2009/9/main" objectType="CheckBox" fmlaLink="Task_Data!$AD$31" lockText="1" noThreeD="1"/>
</file>

<file path=xl/ctrlProps/ctrlProp922.xml><?xml version="1.0" encoding="utf-8"?>
<formControlPr xmlns="http://schemas.microsoft.com/office/spreadsheetml/2009/9/main" objectType="CheckBox" fmlaLink="Task_Data!$AE$31" lockText="1" noThreeD="1"/>
</file>

<file path=xl/ctrlProps/ctrlProp923.xml><?xml version="1.0" encoding="utf-8"?>
<formControlPr xmlns="http://schemas.microsoft.com/office/spreadsheetml/2009/9/main" objectType="CheckBox" fmlaLink="Task_Data!$AF$31" lockText="1" noThreeD="1"/>
</file>

<file path=xl/ctrlProps/ctrlProp924.xml><?xml version="1.0" encoding="utf-8"?>
<formControlPr xmlns="http://schemas.microsoft.com/office/spreadsheetml/2009/9/main" objectType="CheckBox" fmlaLink="Task_Data!$AG$31" lockText="1" noThreeD="1"/>
</file>

<file path=xl/ctrlProps/ctrlProp925.xml><?xml version="1.0" encoding="utf-8"?>
<formControlPr xmlns="http://schemas.microsoft.com/office/spreadsheetml/2009/9/main" objectType="CheckBox" fmlaLink="Task_Data!$AH$31" lockText="1" noThreeD="1"/>
</file>

<file path=xl/ctrlProps/ctrlProp926.xml><?xml version="1.0" encoding="utf-8"?>
<formControlPr xmlns="http://schemas.microsoft.com/office/spreadsheetml/2009/9/main" objectType="CheckBox" fmlaLink="Task_Data!$AI$31" lockText="1" noThreeD="1"/>
</file>

<file path=xl/ctrlProps/ctrlProp927.xml><?xml version="1.0" encoding="utf-8"?>
<formControlPr xmlns="http://schemas.microsoft.com/office/spreadsheetml/2009/9/main" objectType="CheckBox" fmlaLink="Task_Data!$AJ$31" lockText="1" noThreeD="1"/>
</file>

<file path=xl/ctrlProps/ctrlProp928.xml><?xml version="1.0" encoding="utf-8"?>
<formControlPr xmlns="http://schemas.microsoft.com/office/spreadsheetml/2009/9/main" objectType="CheckBox" fmlaLink="Task_Data!$AK$31" lockText="1" noThreeD="1"/>
</file>

<file path=xl/ctrlProps/ctrlProp929.xml><?xml version="1.0" encoding="utf-8"?>
<formControlPr xmlns="http://schemas.microsoft.com/office/spreadsheetml/2009/9/main" objectType="CheckBox" fmlaLink="Task_Data!$AL$31" lockText="1" noThreeD="1"/>
</file>

<file path=xl/ctrlProps/ctrlProp930.xml><?xml version="1.0" encoding="utf-8"?>
<formControlPr xmlns="http://schemas.microsoft.com/office/spreadsheetml/2009/9/main" objectType="CheckBox" fmlaLink="Task_Data!$H$32" lockText="1" noThreeD="1"/>
</file>

<file path=xl/ctrlProps/ctrlProp931.xml><?xml version="1.0" encoding="utf-8"?>
<formControlPr xmlns="http://schemas.microsoft.com/office/spreadsheetml/2009/9/main" objectType="CheckBox" fmlaLink="Task_Data!$I$32" lockText="1" noThreeD="1"/>
</file>

<file path=xl/ctrlProps/ctrlProp932.xml><?xml version="1.0" encoding="utf-8"?>
<formControlPr xmlns="http://schemas.microsoft.com/office/spreadsheetml/2009/9/main" objectType="CheckBox" fmlaLink="Task_Data!$J$32" lockText="1" noThreeD="1"/>
</file>

<file path=xl/ctrlProps/ctrlProp933.xml><?xml version="1.0" encoding="utf-8"?>
<formControlPr xmlns="http://schemas.microsoft.com/office/spreadsheetml/2009/9/main" objectType="CheckBox" fmlaLink="Task_Data!$K$32" lockText="1" noThreeD="1"/>
</file>

<file path=xl/ctrlProps/ctrlProp934.xml><?xml version="1.0" encoding="utf-8"?>
<formControlPr xmlns="http://schemas.microsoft.com/office/spreadsheetml/2009/9/main" objectType="CheckBox" fmlaLink="Task_Data!$L$32" lockText="1" noThreeD="1"/>
</file>

<file path=xl/ctrlProps/ctrlProp935.xml><?xml version="1.0" encoding="utf-8"?>
<formControlPr xmlns="http://schemas.microsoft.com/office/spreadsheetml/2009/9/main" objectType="CheckBox" fmlaLink="Task_Data!$M$32" lockText="1" noThreeD="1"/>
</file>

<file path=xl/ctrlProps/ctrlProp936.xml><?xml version="1.0" encoding="utf-8"?>
<formControlPr xmlns="http://schemas.microsoft.com/office/spreadsheetml/2009/9/main" objectType="CheckBox" fmlaLink="Task_Data!$N$32" lockText="1" noThreeD="1"/>
</file>

<file path=xl/ctrlProps/ctrlProp937.xml><?xml version="1.0" encoding="utf-8"?>
<formControlPr xmlns="http://schemas.microsoft.com/office/spreadsheetml/2009/9/main" objectType="CheckBox" fmlaLink="Task_Data!$O$32" lockText="1" noThreeD="1"/>
</file>

<file path=xl/ctrlProps/ctrlProp938.xml><?xml version="1.0" encoding="utf-8"?>
<formControlPr xmlns="http://schemas.microsoft.com/office/spreadsheetml/2009/9/main" objectType="CheckBox" fmlaLink="Task_Data!$P$32" lockText="1" noThreeD="1"/>
</file>

<file path=xl/ctrlProps/ctrlProp939.xml><?xml version="1.0" encoding="utf-8"?>
<formControlPr xmlns="http://schemas.microsoft.com/office/spreadsheetml/2009/9/main" objectType="CheckBox" fmlaLink="Task_Data!$Q$32" lockText="1" noThreeD="1"/>
</file>

<file path=xl/ctrlProps/ctrlProp940.xml><?xml version="1.0" encoding="utf-8"?>
<formControlPr xmlns="http://schemas.microsoft.com/office/spreadsheetml/2009/9/main" objectType="CheckBox" fmlaLink="Task_Data!$R$32" lockText="1" noThreeD="1"/>
</file>

<file path=xl/ctrlProps/ctrlProp941.xml><?xml version="1.0" encoding="utf-8"?>
<formControlPr xmlns="http://schemas.microsoft.com/office/spreadsheetml/2009/9/main" objectType="CheckBox" fmlaLink="Task_Data!$S$32" lockText="1" noThreeD="1"/>
</file>

<file path=xl/ctrlProps/ctrlProp942.xml><?xml version="1.0" encoding="utf-8"?>
<formControlPr xmlns="http://schemas.microsoft.com/office/spreadsheetml/2009/9/main" objectType="CheckBox" fmlaLink="Task_Data!$T$32" lockText="1" noThreeD="1"/>
</file>

<file path=xl/ctrlProps/ctrlProp943.xml><?xml version="1.0" encoding="utf-8"?>
<formControlPr xmlns="http://schemas.microsoft.com/office/spreadsheetml/2009/9/main" objectType="CheckBox" fmlaLink="Task_Data!$U$32" lockText="1" noThreeD="1"/>
</file>

<file path=xl/ctrlProps/ctrlProp944.xml><?xml version="1.0" encoding="utf-8"?>
<formControlPr xmlns="http://schemas.microsoft.com/office/spreadsheetml/2009/9/main" objectType="CheckBox" fmlaLink="Task_Data!$V$32" lockText="1" noThreeD="1"/>
</file>

<file path=xl/ctrlProps/ctrlProp945.xml><?xml version="1.0" encoding="utf-8"?>
<formControlPr xmlns="http://schemas.microsoft.com/office/spreadsheetml/2009/9/main" objectType="CheckBox" fmlaLink="Task_Data!$W$32" lockText="1" noThreeD="1"/>
</file>

<file path=xl/ctrlProps/ctrlProp946.xml><?xml version="1.0" encoding="utf-8"?>
<formControlPr xmlns="http://schemas.microsoft.com/office/spreadsheetml/2009/9/main" objectType="CheckBox" fmlaLink="Task_Data!$X$32" lockText="1" noThreeD="1"/>
</file>

<file path=xl/ctrlProps/ctrlProp947.xml><?xml version="1.0" encoding="utf-8"?>
<formControlPr xmlns="http://schemas.microsoft.com/office/spreadsheetml/2009/9/main" objectType="CheckBox" fmlaLink="Task_Data!$Y$32" lockText="1" noThreeD="1"/>
</file>

<file path=xl/ctrlProps/ctrlProp948.xml><?xml version="1.0" encoding="utf-8"?>
<formControlPr xmlns="http://schemas.microsoft.com/office/spreadsheetml/2009/9/main" objectType="CheckBox" fmlaLink="Task_Data!$Z$32" lockText="1" noThreeD="1"/>
</file>

<file path=xl/ctrlProps/ctrlProp949.xml><?xml version="1.0" encoding="utf-8"?>
<formControlPr xmlns="http://schemas.microsoft.com/office/spreadsheetml/2009/9/main" objectType="CheckBox" fmlaLink="Task_Data!$AA$32" lockText="1" noThreeD="1"/>
</file>

<file path=xl/ctrlProps/ctrlProp950.xml><?xml version="1.0" encoding="utf-8"?>
<formControlPr xmlns="http://schemas.microsoft.com/office/spreadsheetml/2009/9/main" objectType="CheckBox" fmlaLink="Task_Data!$AB$32" lockText="1" noThreeD="1"/>
</file>

<file path=xl/ctrlProps/ctrlProp951.xml><?xml version="1.0" encoding="utf-8"?>
<formControlPr xmlns="http://schemas.microsoft.com/office/spreadsheetml/2009/9/main" objectType="CheckBox" fmlaLink="Task_Data!$AC$32" lockText="1" noThreeD="1"/>
</file>

<file path=xl/ctrlProps/ctrlProp952.xml><?xml version="1.0" encoding="utf-8"?>
<formControlPr xmlns="http://schemas.microsoft.com/office/spreadsheetml/2009/9/main" objectType="CheckBox" fmlaLink="Task_Data!$AD$32" lockText="1" noThreeD="1"/>
</file>

<file path=xl/ctrlProps/ctrlProp953.xml><?xml version="1.0" encoding="utf-8"?>
<formControlPr xmlns="http://schemas.microsoft.com/office/spreadsheetml/2009/9/main" objectType="CheckBox" fmlaLink="Task_Data!$AE$32" lockText="1" noThreeD="1"/>
</file>

<file path=xl/ctrlProps/ctrlProp954.xml><?xml version="1.0" encoding="utf-8"?>
<formControlPr xmlns="http://schemas.microsoft.com/office/spreadsheetml/2009/9/main" objectType="CheckBox" fmlaLink="Task_Data!$AF$32" lockText="1" noThreeD="1"/>
</file>

<file path=xl/ctrlProps/ctrlProp955.xml><?xml version="1.0" encoding="utf-8"?>
<formControlPr xmlns="http://schemas.microsoft.com/office/spreadsheetml/2009/9/main" objectType="CheckBox" fmlaLink="Task_Data!$AG$32" lockText="1" noThreeD="1"/>
</file>

<file path=xl/ctrlProps/ctrlProp956.xml><?xml version="1.0" encoding="utf-8"?>
<formControlPr xmlns="http://schemas.microsoft.com/office/spreadsheetml/2009/9/main" objectType="CheckBox" fmlaLink="Task_Data!$AH$32" lockText="1" noThreeD="1"/>
</file>

<file path=xl/ctrlProps/ctrlProp957.xml><?xml version="1.0" encoding="utf-8"?>
<formControlPr xmlns="http://schemas.microsoft.com/office/spreadsheetml/2009/9/main" objectType="CheckBox" fmlaLink="Task_Data!$AI$32" lockText="1" noThreeD="1"/>
</file>

<file path=xl/ctrlProps/ctrlProp958.xml><?xml version="1.0" encoding="utf-8"?>
<formControlPr xmlns="http://schemas.microsoft.com/office/spreadsheetml/2009/9/main" objectType="CheckBox" fmlaLink="Task_Data!$AJ$32" lockText="1" noThreeD="1"/>
</file>

<file path=xl/ctrlProps/ctrlProp959.xml><?xml version="1.0" encoding="utf-8"?>
<formControlPr xmlns="http://schemas.microsoft.com/office/spreadsheetml/2009/9/main" objectType="CheckBox" fmlaLink="Task_Data!$AK$32" lockText="1" noThreeD="1"/>
</file>

<file path=xl/ctrlProps/ctrlProp960.xml><?xml version="1.0" encoding="utf-8"?>
<formControlPr xmlns="http://schemas.microsoft.com/office/spreadsheetml/2009/9/main" objectType="CheckBox" fmlaLink="Task_Data!$AL$32" lockText="1" noThreeD="1"/>
</file>

<file path=xl/ctrlProps/ctrlProp961.xml><?xml version="1.0" encoding="utf-8"?>
<formControlPr xmlns="http://schemas.microsoft.com/office/spreadsheetml/2009/9/main" objectType="CheckBox" fmlaLink="Task_Data!$H$33" lockText="1" noThreeD="1"/>
</file>

<file path=xl/ctrlProps/ctrlProp962.xml><?xml version="1.0" encoding="utf-8"?>
<formControlPr xmlns="http://schemas.microsoft.com/office/spreadsheetml/2009/9/main" objectType="CheckBox" fmlaLink="Task_Data!$I$33" lockText="1" noThreeD="1"/>
</file>

<file path=xl/ctrlProps/ctrlProp963.xml><?xml version="1.0" encoding="utf-8"?>
<formControlPr xmlns="http://schemas.microsoft.com/office/spreadsheetml/2009/9/main" objectType="CheckBox" fmlaLink="Task_Data!$J$33" lockText="1" noThreeD="1"/>
</file>

<file path=xl/ctrlProps/ctrlProp964.xml><?xml version="1.0" encoding="utf-8"?>
<formControlPr xmlns="http://schemas.microsoft.com/office/spreadsheetml/2009/9/main" objectType="CheckBox" fmlaLink="Task_Data!$K$33" lockText="1" noThreeD="1"/>
</file>

<file path=xl/ctrlProps/ctrlProp965.xml><?xml version="1.0" encoding="utf-8"?>
<formControlPr xmlns="http://schemas.microsoft.com/office/spreadsheetml/2009/9/main" objectType="CheckBox" fmlaLink="Task_Data!$L$33" lockText="1" noThreeD="1"/>
</file>

<file path=xl/ctrlProps/ctrlProp966.xml><?xml version="1.0" encoding="utf-8"?>
<formControlPr xmlns="http://schemas.microsoft.com/office/spreadsheetml/2009/9/main" objectType="CheckBox" fmlaLink="Task_Data!$M$33" lockText="1" noThreeD="1"/>
</file>

<file path=xl/ctrlProps/ctrlProp967.xml><?xml version="1.0" encoding="utf-8"?>
<formControlPr xmlns="http://schemas.microsoft.com/office/spreadsheetml/2009/9/main" objectType="CheckBox" fmlaLink="Task_Data!$N$33" lockText="1" noThreeD="1"/>
</file>

<file path=xl/ctrlProps/ctrlProp968.xml><?xml version="1.0" encoding="utf-8"?>
<formControlPr xmlns="http://schemas.microsoft.com/office/spreadsheetml/2009/9/main" objectType="CheckBox" fmlaLink="Task_Data!$O$33" lockText="1" noThreeD="1"/>
</file>

<file path=xl/ctrlProps/ctrlProp969.xml><?xml version="1.0" encoding="utf-8"?>
<formControlPr xmlns="http://schemas.microsoft.com/office/spreadsheetml/2009/9/main" objectType="CheckBox" fmlaLink="Task_Data!$P$33" lockText="1" noThreeD="1"/>
</file>

<file path=xl/ctrlProps/ctrlProp970.xml><?xml version="1.0" encoding="utf-8"?>
<formControlPr xmlns="http://schemas.microsoft.com/office/spreadsheetml/2009/9/main" objectType="CheckBox" fmlaLink="Task_Data!$Q$33" lockText="1" noThreeD="1"/>
</file>

<file path=xl/ctrlProps/ctrlProp971.xml><?xml version="1.0" encoding="utf-8"?>
<formControlPr xmlns="http://schemas.microsoft.com/office/spreadsheetml/2009/9/main" objectType="CheckBox" fmlaLink="Task_Data!$R$33" lockText="1" noThreeD="1"/>
</file>

<file path=xl/ctrlProps/ctrlProp972.xml><?xml version="1.0" encoding="utf-8"?>
<formControlPr xmlns="http://schemas.microsoft.com/office/spreadsheetml/2009/9/main" objectType="CheckBox" fmlaLink="Task_Data!$S$33" lockText="1" noThreeD="1"/>
</file>

<file path=xl/ctrlProps/ctrlProp973.xml><?xml version="1.0" encoding="utf-8"?>
<formControlPr xmlns="http://schemas.microsoft.com/office/spreadsheetml/2009/9/main" objectType="CheckBox" fmlaLink="Task_Data!$T$33" lockText="1" noThreeD="1"/>
</file>

<file path=xl/ctrlProps/ctrlProp974.xml><?xml version="1.0" encoding="utf-8"?>
<formControlPr xmlns="http://schemas.microsoft.com/office/spreadsheetml/2009/9/main" objectType="CheckBox" fmlaLink="Task_Data!$U$33" lockText="1" noThreeD="1"/>
</file>

<file path=xl/ctrlProps/ctrlProp975.xml><?xml version="1.0" encoding="utf-8"?>
<formControlPr xmlns="http://schemas.microsoft.com/office/spreadsheetml/2009/9/main" objectType="CheckBox" fmlaLink="Task_Data!$V$33" lockText="1" noThreeD="1"/>
</file>

<file path=xl/ctrlProps/ctrlProp976.xml><?xml version="1.0" encoding="utf-8"?>
<formControlPr xmlns="http://schemas.microsoft.com/office/spreadsheetml/2009/9/main" objectType="CheckBox" fmlaLink="Task_Data!$W$33" lockText="1" noThreeD="1"/>
</file>

<file path=xl/ctrlProps/ctrlProp977.xml><?xml version="1.0" encoding="utf-8"?>
<formControlPr xmlns="http://schemas.microsoft.com/office/spreadsheetml/2009/9/main" objectType="CheckBox" fmlaLink="Task_Data!$X$33" lockText="1" noThreeD="1"/>
</file>

<file path=xl/ctrlProps/ctrlProp978.xml><?xml version="1.0" encoding="utf-8"?>
<formControlPr xmlns="http://schemas.microsoft.com/office/spreadsheetml/2009/9/main" objectType="CheckBox" fmlaLink="Task_Data!$Y$33" lockText="1" noThreeD="1"/>
</file>

<file path=xl/ctrlProps/ctrlProp979.xml><?xml version="1.0" encoding="utf-8"?>
<formControlPr xmlns="http://schemas.microsoft.com/office/spreadsheetml/2009/9/main" objectType="CheckBox" fmlaLink="Task_Data!$Z$33" lockText="1" noThreeD="1"/>
</file>

<file path=xl/ctrlProps/ctrlProp980.xml><?xml version="1.0" encoding="utf-8"?>
<formControlPr xmlns="http://schemas.microsoft.com/office/spreadsheetml/2009/9/main" objectType="CheckBox" fmlaLink="Task_Data!$AA$33" lockText="1" noThreeD="1"/>
</file>

<file path=xl/ctrlProps/ctrlProp981.xml><?xml version="1.0" encoding="utf-8"?>
<formControlPr xmlns="http://schemas.microsoft.com/office/spreadsheetml/2009/9/main" objectType="CheckBox" fmlaLink="Task_Data!$AB$33" lockText="1" noThreeD="1"/>
</file>

<file path=xl/ctrlProps/ctrlProp982.xml><?xml version="1.0" encoding="utf-8"?>
<formControlPr xmlns="http://schemas.microsoft.com/office/spreadsheetml/2009/9/main" objectType="CheckBox" fmlaLink="Task_Data!$AC$33" lockText="1" noThreeD="1"/>
</file>

<file path=xl/ctrlProps/ctrlProp983.xml><?xml version="1.0" encoding="utf-8"?>
<formControlPr xmlns="http://schemas.microsoft.com/office/spreadsheetml/2009/9/main" objectType="CheckBox" fmlaLink="Task_Data!$AD$33" lockText="1" noThreeD="1"/>
</file>

<file path=xl/ctrlProps/ctrlProp984.xml><?xml version="1.0" encoding="utf-8"?>
<formControlPr xmlns="http://schemas.microsoft.com/office/spreadsheetml/2009/9/main" objectType="CheckBox" fmlaLink="Task_Data!$AE$33" lockText="1" noThreeD="1"/>
</file>

<file path=xl/ctrlProps/ctrlProp985.xml><?xml version="1.0" encoding="utf-8"?>
<formControlPr xmlns="http://schemas.microsoft.com/office/spreadsheetml/2009/9/main" objectType="CheckBox" fmlaLink="Task_Data!$AF$33" lockText="1" noThreeD="1"/>
</file>

<file path=xl/ctrlProps/ctrlProp986.xml><?xml version="1.0" encoding="utf-8"?>
<formControlPr xmlns="http://schemas.microsoft.com/office/spreadsheetml/2009/9/main" objectType="CheckBox" fmlaLink="Task_Data!$AG$33" lockText="1" noThreeD="1"/>
</file>

<file path=xl/ctrlProps/ctrlProp987.xml><?xml version="1.0" encoding="utf-8"?>
<formControlPr xmlns="http://schemas.microsoft.com/office/spreadsheetml/2009/9/main" objectType="CheckBox" fmlaLink="Task_Data!$AH$33" lockText="1" noThreeD="1"/>
</file>

<file path=xl/ctrlProps/ctrlProp988.xml><?xml version="1.0" encoding="utf-8"?>
<formControlPr xmlns="http://schemas.microsoft.com/office/spreadsheetml/2009/9/main" objectType="CheckBox" fmlaLink="Task_Data!$AI$33" lockText="1" noThreeD="1"/>
</file>

<file path=xl/ctrlProps/ctrlProp989.xml><?xml version="1.0" encoding="utf-8"?>
<formControlPr xmlns="http://schemas.microsoft.com/office/spreadsheetml/2009/9/main" objectType="CheckBox" fmlaLink="Task_Data!$AJ$33" lockText="1" noThreeD="1"/>
</file>

<file path=xl/ctrlProps/ctrlProp990.xml><?xml version="1.0" encoding="utf-8"?>
<formControlPr xmlns="http://schemas.microsoft.com/office/spreadsheetml/2009/9/main" objectType="CheckBox" fmlaLink="Task_Data!$AK$33" lockText="1" noThreeD="1"/>
</file>

<file path=xl/ctrlProps/ctrlProp991.xml><?xml version="1.0" encoding="utf-8"?>
<formControlPr xmlns="http://schemas.microsoft.com/office/spreadsheetml/2009/9/main" objectType="CheckBox" fmlaLink="Task_Data!$AL$33" lockText="1" noThreeD="1"/>
</file>

<file path=xl/ctrlProps/ctrlProp992.xml><?xml version="1.0" encoding="utf-8"?>
<formControlPr xmlns="http://schemas.microsoft.com/office/spreadsheetml/2009/9/main" objectType="CheckBox" fmlaLink="Task_Data!$H$34" lockText="1" noThreeD="1"/>
</file>

<file path=xl/ctrlProps/ctrlProp993.xml><?xml version="1.0" encoding="utf-8"?>
<formControlPr xmlns="http://schemas.microsoft.com/office/spreadsheetml/2009/9/main" objectType="CheckBox" fmlaLink="Task_Data!$I$34" lockText="1" noThreeD="1"/>
</file>

<file path=xl/ctrlProps/ctrlProp994.xml><?xml version="1.0" encoding="utf-8"?>
<formControlPr xmlns="http://schemas.microsoft.com/office/spreadsheetml/2009/9/main" objectType="CheckBox" fmlaLink="Task_Data!$J$34" lockText="1" noThreeD="1"/>
</file>

<file path=xl/ctrlProps/ctrlProp995.xml><?xml version="1.0" encoding="utf-8"?>
<formControlPr xmlns="http://schemas.microsoft.com/office/spreadsheetml/2009/9/main" objectType="CheckBox" fmlaLink="Task_Data!$K$34" lockText="1" noThreeD="1"/>
</file>

<file path=xl/ctrlProps/ctrlProp996.xml><?xml version="1.0" encoding="utf-8"?>
<formControlPr xmlns="http://schemas.microsoft.com/office/spreadsheetml/2009/9/main" objectType="CheckBox" fmlaLink="Task_Data!$L$34" lockText="1" noThreeD="1"/>
</file>

<file path=xl/ctrlProps/ctrlProp997.xml><?xml version="1.0" encoding="utf-8"?>
<formControlPr xmlns="http://schemas.microsoft.com/office/spreadsheetml/2009/9/main" objectType="CheckBox" fmlaLink="Task_Data!$M$34" lockText="1" noThreeD="1"/>
</file>

<file path=xl/ctrlProps/ctrlProp998.xml><?xml version="1.0" encoding="utf-8"?>
<formControlPr xmlns="http://schemas.microsoft.com/office/spreadsheetml/2009/9/main" objectType="CheckBox" fmlaLink="Task_Data!$N$34" lockText="1" noThreeD="1"/>
</file>

<file path=xl/ctrlProps/ctrlProp999.xml><?xml version="1.0" encoding="utf-8"?>
<formControlPr xmlns="http://schemas.microsoft.com/office/spreadsheetml/2009/9/main" objectType="CheckBox" fmlaLink="Task_Data!$O$34" lockText="1" noThreeD="1"/>
</file>

<file path=xl/ctrlProps/ctrlProp1000.xml><?xml version="1.0" encoding="utf-8"?>
<formControlPr xmlns="http://schemas.microsoft.com/office/spreadsheetml/2009/9/main" objectType="CheckBox" fmlaLink="Task_Data!$P$34" lockText="1" noThreeD="1"/>
</file>

<file path=xl/ctrlProps/ctrlProp1001.xml><?xml version="1.0" encoding="utf-8"?>
<formControlPr xmlns="http://schemas.microsoft.com/office/spreadsheetml/2009/9/main" objectType="CheckBox" fmlaLink="Task_Data!$Q$34" lockText="1" noThreeD="1"/>
</file>

<file path=xl/ctrlProps/ctrlProp1002.xml><?xml version="1.0" encoding="utf-8"?>
<formControlPr xmlns="http://schemas.microsoft.com/office/spreadsheetml/2009/9/main" objectType="CheckBox" fmlaLink="Task_Data!$R$34" lockText="1" noThreeD="1"/>
</file>

<file path=xl/ctrlProps/ctrlProp1003.xml><?xml version="1.0" encoding="utf-8"?>
<formControlPr xmlns="http://schemas.microsoft.com/office/spreadsheetml/2009/9/main" objectType="CheckBox" fmlaLink="Task_Data!$S$34" lockText="1" noThreeD="1"/>
</file>

<file path=xl/ctrlProps/ctrlProp1004.xml><?xml version="1.0" encoding="utf-8"?>
<formControlPr xmlns="http://schemas.microsoft.com/office/spreadsheetml/2009/9/main" objectType="CheckBox" fmlaLink="Task_Data!$T$34" lockText="1" noThreeD="1"/>
</file>

<file path=xl/ctrlProps/ctrlProp1005.xml><?xml version="1.0" encoding="utf-8"?>
<formControlPr xmlns="http://schemas.microsoft.com/office/spreadsheetml/2009/9/main" objectType="CheckBox" fmlaLink="Task_Data!$U$34" lockText="1" noThreeD="1"/>
</file>

<file path=xl/ctrlProps/ctrlProp1006.xml><?xml version="1.0" encoding="utf-8"?>
<formControlPr xmlns="http://schemas.microsoft.com/office/spreadsheetml/2009/9/main" objectType="CheckBox" fmlaLink="Task_Data!$V$34" lockText="1" noThreeD="1"/>
</file>

<file path=xl/ctrlProps/ctrlProp1007.xml><?xml version="1.0" encoding="utf-8"?>
<formControlPr xmlns="http://schemas.microsoft.com/office/spreadsheetml/2009/9/main" objectType="CheckBox" fmlaLink="Task_Data!$W$34" lockText="1" noThreeD="1"/>
</file>

<file path=xl/ctrlProps/ctrlProp1008.xml><?xml version="1.0" encoding="utf-8"?>
<formControlPr xmlns="http://schemas.microsoft.com/office/spreadsheetml/2009/9/main" objectType="CheckBox" fmlaLink="Task_Data!$X$34" lockText="1" noThreeD="1"/>
</file>

<file path=xl/ctrlProps/ctrlProp1009.xml><?xml version="1.0" encoding="utf-8"?>
<formControlPr xmlns="http://schemas.microsoft.com/office/spreadsheetml/2009/9/main" objectType="CheckBox" fmlaLink="Task_Data!$Y$34" lockText="1" noThreeD="1"/>
</file>

<file path=xl/ctrlProps/ctrlProp1010.xml><?xml version="1.0" encoding="utf-8"?>
<formControlPr xmlns="http://schemas.microsoft.com/office/spreadsheetml/2009/9/main" objectType="CheckBox" fmlaLink="Task_Data!$Z$34" lockText="1" noThreeD="1"/>
</file>

<file path=xl/ctrlProps/ctrlProp1011.xml><?xml version="1.0" encoding="utf-8"?>
<formControlPr xmlns="http://schemas.microsoft.com/office/spreadsheetml/2009/9/main" objectType="CheckBox" fmlaLink="Task_Data!$AA$34" lockText="1" noThreeD="1"/>
</file>

<file path=xl/ctrlProps/ctrlProp1012.xml><?xml version="1.0" encoding="utf-8"?>
<formControlPr xmlns="http://schemas.microsoft.com/office/spreadsheetml/2009/9/main" objectType="CheckBox" fmlaLink="Task_Data!$AB$34" lockText="1" noThreeD="1"/>
</file>

<file path=xl/ctrlProps/ctrlProp1013.xml><?xml version="1.0" encoding="utf-8"?>
<formControlPr xmlns="http://schemas.microsoft.com/office/spreadsheetml/2009/9/main" objectType="CheckBox" fmlaLink="Task_Data!$AC$34" lockText="1" noThreeD="1"/>
</file>

<file path=xl/ctrlProps/ctrlProp1014.xml><?xml version="1.0" encoding="utf-8"?>
<formControlPr xmlns="http://schemas.microsoft.com/office/spreadsheetml/2009/9/main" objectType="CheckBox" fmlaLink="Task_Data!$AD$34" lockText="1" noThreeD="1"/>
</file>

<file path=xl/ctrlProps/ctrlProp1015.xml><?xml version="1.0" encoding="utf-8"?>
<formControlPr xmlns="http://schemas.microsoft.com/office/spreadsheetml/2009/9/main" objectType="CheckBox" fmlaLink="Task_Data!$AE$34" lockText="1" noThreeD="1"/>
</file>

<file path=xl/ctrlProps/ctrlProp1016.xml><?xml version="1.0" encoding="utf-8"?>
<formControlPr xmlns="http://schemas.microsoft.com/office/spreadsheetml/2009/9/main" objectType="CheckBox" fmlaLink="Task_Data!$AF$34" lockText="1" noThreeD="1"/>
</file>

<file path=xl/ctrlProps/ctrlProp1017.xml><?xml version="1.0" encoding="utf-8"?>
<formControlPr xmlns="http://schemas.microsoft.com/office/spreadsheetml/2009/9/main" objectType="CheckBox" fmlaLink="Task_Data!$AG$34" lockText="1" noThreeD="1"/>
</file>

<file path=xl/ctrlProps/ctrlProp1018.xml><?xml version="1.0" encoding="utf-8"?>
<formControlPr xmlns="http://schemas.microsoft.com/office/spreadsheetml/2009/9/main" objectType="CheckBox" fmlaLink="Task_Data!$AH$34" lockText="1" noThreeD="1"/>
</file>

<file path=xl/ctrlProps/ctrlProp1019.xml><?xml version="1.0" encoding="utf-8"?>
<formControlPr xmlns="http://schemas.microsoft.com/office/spreadsheetml/2009/9/main" objectType="CheckBox" fmlaLink="Task_Data!$AI$34" lockText="1" noThreeD="1"/>
</file>

<file path=xl/ctrlProps/ctrlProp1020.xml><?xml version="1.0" encoding="utf-8"?>
<formControlPr xmlns="http://schemas.microsoft.com/office/spreadsheetml/2009/9/main" objectType="CheckBox" fmlaLink="Task_Data!$AJ$34" lockText="1" noThreeD="1"/>
</file>

<file path=xl/ctrlProps/ctrlProp1021.xml><?xml version="1.0" encoding="utf-8"?>
<formControlPr xmlns="http://schemas.microsoft.com/office/spreadsheetml/2009/9/main" objectType="CheckBox" fmlaLink="Task_Data!$AK$34" lockText="1" noThreeD="1"/>
</file>

<file path=xl/ctrlProps/ctrlProp1022.xml><?xml version="1.0" encoding="utf-8"?>
<formControlPr xmlns="http://schemas.microsoft.com/office/spreadsheetml/2009/9/main" objectType="CheckBox" fmlaLink="Task_Data!$AL$34" lockText="1" noThreeD="1"/>
</file>

<file path=xl/ctrlProps/ctrlProp1023.xml><?xml version="1.0" encoding="utf-8"?>
<formControlPr xmlns="http://schemas.microsoft.com/office/spreadsheetml/2009/9/main" objectType="CheckBox" fmlaLink="Task_Data!$H$35" lockText="1" noThreeD="1"/>
</file>

<file path=xl/ctrlProps/ctrlProp1024.xml><?xml version="1.0" encoding="utf-8"?>
<formControlPr xmlns="http://schemas.microsoft.com/office/spreadsheetml/2009/9/main" objectType="CheckBox" fmlaLink="Task_Data!$I$35" lockText="1" noThreeD="1"/>
</file>

<file path=xl/ctrlProps/ctrlProp1025.xml><?xml version="1.0" encoding="utf-8"?>
<formControlPr xmlns="http://schemas.microsoft.com/office/spreadsheetml/2009/9/main" objectType="CheckBox" fmlaLink="Task_Data!$J$35" lockText="1" noThreeD="1"/>
</file>

<file path=xl/ctrlProps/ctrlProp1026.xml><?xml version="1.0" encoding="utf-8"?>
<formControlPr xmlns="http://schemas.microsoft.com/office/spreadsheetml/2009/9/main" objectType="CheckBox" fmlaLink="Task_Data!$K$35" lockText="1" noThreeD="1"/>
</file>

<file path=xl/ctrlProps/ctrlProp1027.xml><?xml version="1.0" encoding="utf-8"?>
<formControlPr xmlns="http://schemas.microsoft.com/office/spreadsheetml/2009/9/main" objectType="CheckBox" fmlaLink="Task_Data!$L$35" lockText="1" noThreeD="1"/>
</file>

<file path=xl/ctrlProps/ctrlProp1028.xml><?xml version="1.0" encoding="utf-8"?>
<formControlPr xmlns="http://schemas.microsoft.com/office/spreadsheetml/2009/9/main" objectType="CheckBox" fmlaLink="Task_Data!$M$35" lockText="1" noThreeD="1"/>
</file>

<file path=xl/ctrlProps/ctrlProp1029.xml><?xml version="1.0" encoding="utf-8"?>
<formControlPr xmlns="http://schemas.microsoft.com/office/spreadsheetml/2009/9/main" objectType="CheckBox" fmlaLink="Task_Data!$N$35" lockText="1" noThreeD="1"/>
</file>

<file path=xl/ctrlProps/ctrlProp1030.xml><?xml version="1.0" encoding="utf-8"?>
<formControlPr xmlns="http://schemas.microsoft.com/office/spreadsheetml/2009/9/main" objectType="CheckBox" fmlaLink="Task_Data!$O$35" lockText="1" noThreeD="1"/>
</file>

<file path=xl/ctrlProps/ctrlProp1031.xml><?xml version="1.0" encoding="utf-8"?>
<formControlPr xmlns="http://schemas.microsoft.com/office/spreadsheetml/2009/9/main" objectType="CheckBox" fmlaLink="Task_Data!$P$35" lockText="1" noThreeD="1"/>
</file>

<file path=xl/ctrlProps/ctrlProp1032.xml><?xml version="1.0" encoding="utf-8"?>
<formControlPr xmlns="http://schemas.microsoft.com/office/spreadsheetml/2009/9/main" objectType="CheckBox" fmlaLink="Task_Data!$Q$35" lockText="1" noThreeD="1"/>
</file>

<file path=xl/ctrlProps/ctrlProp1033.xml><?xml version="1.0" encoding="utf-8"?>
<formControlPr xmlns="http://schemas.microsoft.com/office/spreadsheetml/2009/9/main" objectType="CheckBox" fmlaLink="Task_Data!$R$35" lockText="1" noThreeD="1"/>
</file>

<file path=xl/ctrlProps/ctrlProp1034.xml><?xml version="1.0" encoding="utf-8"?>
<formControlPr xmlns="http://schemas.microsoft.com/office/spreadsheetml/2009/9/main" objectType="CheckBox" fmlaLink="Task_Data!$S$35" lockText="1" noThreeD="1"/>
</file>

<file path=xl/ctrlProps/ctrlProp1035.xml><?xml version="1.0" encoding="utf-8"?>
<formControlPr xmlns="http://schemas.microsoft.com/office/spreadsheetml/2009/9/main" objectType="CheckBox" fmlaLink="Task_Data!$T$35" lockText="1" noThreeD="1"/>
</file>

<file path=xl/ctrlProps/ctrlProp1036.xml><?xml version="1.0" encoding="utf-8"?>
<formControlPr xmlns="http://schemas.microsoft.com/office/spreadsheetml/2009/9/main" objectType="CheckBox" fmlaLink="Task_Data!$U$35" lockText="1" noThreeD="1"/>
</file>

<file path=xl/ctrlProps/ctrlProp1037.xml><?xml version="1.0" encoding="utf-8"?>
<formControlPr xmlns="http://schemas.microsoft.com/office/spreadsheetml/2009/9/main" objectType="CheckBox" fmlaLink="Task_Data!$V$35" lockText="1" noThreeD="1"/>
</file>

<file path=xl/ctrlProps/ctrlProp1038.xml><?xml version="1.0" encoding="utf-8"?>
<formControlPr xmlns="http://schemas.microsoft.com/office/spreadsheetml/2009/9/main" objectType="CheckBox" fmlaLink="Task_Data!$W$35" lockText="1" noThreeD="1"/>
</file>

<file path=xl/ctrlProps/ctrlProp1039.xml><?xml version="1.0" encoding="utf-8"?>
<formControlPr xmlns="http://schemas.microsoft.com/office/spreadsheetml/2009/9/main" objectType="CheckBox" fmlaLink="Task_Data!$X$35" lockText="1" noThreeD="1"/>
</file>

<file path=xl/ctrlProps/ctrlProp1040.xml><?xml version="1.0" encoding="utf-8"?>
<formControlPr xmlns="http://schemas.microsoft.com/office/spreadsheetml/2009/9/main" objectType="CheckBox" fmlaLink="Task_Data!$Y$35" lockText="1" noThreeD="1"/>
</file>

<file path=xl/ctrlProps/ctrlProp1041.xml><?xml version="1.0" encoding="utf-8"?>
<formControlPr xmlns="http://schemas.microsoft.com/office/spreadsheetml/2009/9/main" objectType="CheckBox" fmlaLink="Task_Data!$Z$35" lockText="1" noThreeD="1"/>
</file>

<file path=xl/ctrlProps/ctrlProp1042.xml><?xml version="1.0" encoding="utf-8"?>
<formControlPr xmlns="http://schemas.microsoft.com/office/spreadsheetml/2009/9/main" objectType="CheckBox" fmlaLink="Task_Data!$AA$35" lockText="1" noThreeD="1"/>
</file>

<file path=xl/ctrlProps/ctrlProp1043.xml><?xml version="1.0" encoding="utf-8"?>
<formControlPr xmlns="http://schemas.microsoft.com/office/spreadsheetml/2009/9/main" objectType="CheckBox" fmlaLink="Task_Data!$AB$35" lockText="1" noThreeD="1"/>
</file>

<file path=xl/ctrlProps/ctrlProp1044.xml><?xml version="1.0" encoding="utf-8"?>
<formControlPr xmlns="http://schemas.microsoft.com/office/spreadsheetml/2009/9/main" objectType="CheckBox" fmlaLink="Task_Data!$AC$35" lockText="1" noThreeD="1"/>
</file>

<file path=xl/ctrlProps/ctrlProp1045.xml><?xml version="1.0" encoding="utf-8"?>
<formControlPr xmlns="http://schemas.microsoft.com/office/spreadsheetml/2009/9/main" objectType="CheckBox" fmlaLink="Task_Data!$AD$35" lockText="1" noThreeD="1"/>
</file>

<file path=xl/ctrlProps/ctrlProp1046.xml><?xml version="1.0" encoding="utf-8"?>
<formControlPr xmlns="http://schemas.microsoft.com/office/spreadsheetml/2009/9/main" objectType="CheckBox" fmlaLink="Task_Data!$AE$35" lockText="1" noThreeD="1"/>
</file>

<file path=xl/ctrlProps/ctrlProp1047.xml><?xml version="1.0" encoding="utf-8"?>
<formControlPr xmlns="http://schemas.microsoft.com/office/spreadsheetml/2009/9/main" objectType="CheckBox" fmlaLink="Task_Data!$AF$35" lockText="1" noThreeD="1"/>
</file>

<file path=xl/ctrlProps/ctrlProp1048.xml><?xml version="1.0" encoding="utf-8"?>
<formControlPr xmlns="http://schemas.microsoft.com/office/spreadsheetml/2009/9/main" objectType="CheckBox" fmlaLink="Task_Data!$AG$35" lockText="1" noThreeD="1"/>
</file>

<file path=xl/ctrlProps/ctrlProp1049.xml><?xml version="1.0" encoding="utf-8"?>
<formControlPr xmlns="http://schemas.microsoft.com/office/spreadsheetml/2009/9/main" objectType="CheckBox" fmlaLink="Task_Data!$AH$35" lockText="1" noThreeD="1"/>
</file>

<file path=xl/ctrlProps/ctrlProp1050.xml><?xml version="1.0" encoding="utf-8"?>
<formControlPr xmlns="http://schemas.microsoft.com/office/spreadsheetml/2009/9/main" objectType="CheckBox" fmlaLink="Task_Data!$AI$35" lockText="1" noThreeD="1"/>
</file>

<file path=xl/ctrlProps/ctrlProp1051.xml><?xml version="1.0" encoding="utf-8"?>
<formControlPr xmlns="http://schemas.microsoft.com/office/spreadsheetml/2009/9/main" objectType="CheckBox" fmlaLink="Task_Data!$AJ$35" lockText="1" noThreeD="1"/>
</file>

<file path=xl/ctrlProps/ctrlProp1052.xml><?xml version="1.0" encoding="utf-8"?>
<formControlPr xmlns="http://schemas.microsoft.com/office/spreadsheetml/2009/9/main" objectType="CheckBox" fmlaLink="Task_Data!$AK$35" lockText="1" noThreeD="1"/>
</file>

<file path=xl/ctrlProps/ctrlProp1053.xml><?xml version="1.0" encoding="utf-8"?>
<formControlPr xmlns="http://schemas.microsoft.com/office/spreadsheetml/2009/9/main" objectType="CheckBox" fmlaLink="Task_Data!$AL$35" lockText="1" noThreeD="1"/>
</file>

<file path=xl/ctrlProps/ctrlProp1054.xml><?xml version="1.0" encoding="utf-8"?>
<formControlPr xmlns="http://schemas.microsoft.com/office/spreadsheetml/2009/9/main" objectType="CheckBox" fmlaLink="Task_Data!$H$36" lockText="1" noThreeD="1"/>
</file>

<file path=xl/ctrlProps/ctrlProp1055.xml><?xml version="1.0" encoding="utf-8"?>
<formControlPr xmlns="http://schemas.microsoft.com/office/spreadsheetml/2009/9/main" objectType="CheckBox" fmlaLink="Task_Data!$I$36" lockText="1" noThreeD="1"/>
</file>

<file path=xl/ctrlProps/ctrlProp1056.xml><?xml version="1.0" encoding="utf-8"?>
<formControlPr xmlns="http://schemas.microsoft.com/office/spreadsheetml/2009/9/main" objectType="CheckBox" fmlaLink="Task_Data!$J$36" lockText="1" noThreeD="1"/>
</file>

<file path=xl/ctrlProps/ctrlProp1057.xml><?xml version="1.0" encoding="utf-8"?>
<formControlPr xmlns="http://schemas.microsoft.com/office/spreadsheetml/2009/9/main" objectType="CheckBox" fmlaLink="Task_Data!$K$36" lockText="1" noThreeD="1"/>
</file>

<file path=xl/ctrlProps/ctrlProp1058.xml><?xml version="1.0" encoding="utf-8"?>
<formControlPr xmlns="http://schemas.microsoft.com/office/spreadsheetml/2009/9/main" objectType="CheckBox" fmlaLink="Task_Data!$L$36" lockText="1" noThreeD="1"/>
</file>

<file path=xl/ctrlProps/ctrlProp1059.xml><?xml version="1.0" encoding="utf-8"?>
<formControlPr xmlns="http://schemas.microsoft.com/office/spreadsheetml/2009/9/main" objectType="CheckBox" fmlaLink="Task_Data!$M$36" lockText="1" noThreeD="1"/>
</file>

<file path=xl/ctrlProps/ctrlProp1060.xml><?xml version="1.0" encoding="utf-8"?>
<formControlPr xmlns="http://schemas.microsoft.com/office/spreadsheetml/2009/9/main" objectType="CheckBox" fmlaLink="Task_Data!$N$36" lockText="1" noThreeD="1"/>
</file>

<file path=xl/ctrlProps/ctrlProp1061.xml><?xml version="1.0" encoding="utf-8"?>
<formControlPr xmlns="http://schemas.microsoft.com/office/spreadsheetml/2009/9/main" objectType="CheckBox" fmlaLink="Task_Data!$O$36" lockText="1" noThreeD="1"/>
</file>

<file path=xl/ctrlProps/ctrlProp1062.xml><?xml version="1.0" encoding="utf-8"?>
<formControlPr xmlns="http://schemas.microsoft.com/office/spreadsheetml/2009/9/main" objectType="CheckBox" fmlaLink="Task_Data!$P$36" lockText="1" noThreeD="1"/>
</file>

<file path=xl/ctrlProps/ctrlProp1063.xml><?xml version="1.0" encoding="utf-8"?>
<formControlPr xmlns="http://schemas.microsoft.com/office/spreadsheetml/2009/9/main" objectType="CheckBox" fmlaLink="Task_Data!$Q$36" lockText="1" noThreeD="1"/>
</file>

<file path=xl/ctrlProps/ctrlProp1064.xml><?xml version="1.0" encoding="utf-8"?>
<formControlPr xmlns="http://schemas.microsoft.com/office/spreadsheetml/2009/9/main" objectType="CheckBox" fmlaLink="Task_Data!$R$36" lockText="1" noThreeD="1"/>
</file>

<file path=xl/ctrlProps/ctrlProp1065.xml><?xml version="1.0" encoding="utf-8"?>
<formControlPr xmlns="http://schemas.microsoft.com/office/spreadsheetml/2009/9/main" objectType="CheckBox" fmlaLink="Task_Data!$S$36" lockText="1" noThreeD="1"/>
</file>

<file path=xl/ctrlProps/ctrlProp1066.xml><?xml version="1.0" encoding="utf-8"?>
<formControlPr xmlns="http://schemas.microsoft.com/office/spreadsheetml/2009/9/main" objectType="CheckBox" fmlaLink="Task_Data!$T$36" lockText="1" noThreeD="1"/>
</file>

<file path=xl/ctrlProps/ctrlProp1067.xml><?xml version="1.0" encoding="utf-8"?>
<formControlPr xmlns="http://schemas.microsoft.com/office/spreadsheetml/2009/9/main" objectType="CheckBox" fmlaLink="Task_Data!$U$36" lockText="1" noThreeD="1"/>
</file>

<file path=xl/ctrlProps/ctrlProp1068.xml><?xml version="1.0" encoding="utf-8"?>
<formControlPr xmlns="http://schemas.microsoft.com/office/spreadsheetml/2009/9/main" objectType="CheckBox" fmlaLink="Task_Data!$V$36" lockText="1" noThreeD="1"/>
</file>

<file path=xl/ctrlProps/ctrlProp1069.xml><?xml version="1.0" encoding="utf-8"?>
<formControlPr xmlns="http://schemas.microsoft.com/office/spreadsheetml/2009/9/main" objectType="CheckBox" fmlaLink="Task_Data!$W$36" lockText="1" noThreeD="1"/>
</file>

<file path=xl/ctrlProps/ctrlProp1070.xml><?xml version="1.0" encoding="utf-8"?>
<formControlPr xmlns="http://schemas.microsoft.com/office/spreadsheetml/2009/9/main" objectType="CheckBox" fmlaLink="Task_Data!$X$36" lockText="1" noThreeD="1"/>
</file>

<file path=xl/ctrlProps/ctrlProp1071.xml><?xml version="1.0" encoding="utf-8"?>
<formControlPr xmlns="http://schemas.microsoft.com/office/spreadsheetml/2009/9/main" objectType="CheckBox" fmlaLink="Task_Data!$Y$36" lockText="1" noThreeD="1"/>
</file>

<file path=xl/ctrlProps/ctrlProp1072.xml><?xml version="1.0" encoding="utf-8"?>
<formControlPr xmlns="http://schemas.microsoft.com/office/spreadsheetml/2009/9/main" objectType="CheckBox" fmlaLink="Task_Data!$Z$36" lockText="1" noThreeD="1"/>
</file>

<file path=xl/ctrlProps/ctrlProp1073.xml><?xml version="1.0" encoding="utf-8"?>
<formControlPr xmlns="http://schemas.microsoft.com/office/spreadsheetml/2009/9/main" objectType="CheckBox" fmlaLink="Task_Data!$AA$36" lockText="1" noThreeD="1"/>
</file>

<file path=xl/ctrlProps/ctrlProp1074.xml><?xml version="1.0" encoding="utf-8"?>
<formControlPr xmlns="http://schemas.microsoft.com/office/spreadsheetml/2009/9/main" objectType="CheckBox" fmlaLink="Task_Data!$AB$36" lockText="1" noThreeD="1"/>
</file>

<file path=xl/ctrlProps/ctrlProp1075.xml><?xml version="1.0" encoding="utf-8"?>
<formControlPr xmlns="http://schemas.microsoft.com/office/spreadsheetml/2009/9/main" objectType="CheckBox" fmlaLink="Task_Data!$AC$36" lockText="1" noThreeD="1"/>
</file>

<file path=xl/ctrlProps/ctrlProp1076.xml><?xml version="1.0" encoding="utf-8"?>
<formControlPr xmlns="http://schemas.microsoft.com/office/spreadsheetml/2009/9/main" objectType="CheckBox" fmlaLink="Task_Data!$AD$36" lockText="1" noThreeD="1"/>
</file>

<file path=xl/ctrlProps/ctrlProp1077.xml><?xml version="1.0" encoding="utf-8"?>
<formControlPr xmlns="http://schemas.microsoft.com/office/spreadsheetml/2009/9/main" objectType="CheckBox" fmlaLink="Task_Data!$AE$36" lockText="1" noThreeD="1"/>
</file>

<file path=xl/ctrlProps/ctrlProp1078.xml><?xml version="1.0" encoding="utf-8"?>
<formControlPr xmlns="http://schemas.microsoft.com/office/spreadsheetml/2009/9/main" objectType="CheckBox" fmlaLink="Task_Data!$AF$36" lockText="1" noThreeD="1"/>
</file>

<file path=xl/ctrlProps/ctrlProp1079.xml><?xml version="1.0" encoding="utf-8"?>
<formControlPr xmlns="http://schemas.microsoft.com/office/spreadsheetml/2009/9/main" objectType="CheckBox" fmlaLink="Task_Data!$AG$36" lockText="1" noThreeD="1"/>
</file>

<file path=xl/ctrlProps/ctrlProp1080.xml><?xml version="1.0" encoding="utf-8"?>
<formControlPr xmlns="http://schemas.microsoft.com/office/spreadsheetml/2009/9/main" objectType="CheckBox" fmlaLink="Task_Data!$AH$36" lockText="1" noThreeD="1"/>
</file>

<file path=xl/ctrlProps/ctrlProp1081.xml><?xml version="1.0" encoding="utf-8"?>
<formControlPr xmlns="http://schemas.microsoft.com/office/spreadsheetml/2009/9/main" objectType="CheckBox" fmlaLink="Task_Data!$AI$36" lockText="1" noThreeD="1"/>
</file>

<file path=xl/ctrlProps/ctrlProp1082.xml><?xml version="1.0" encoding="utf-8"?>
<formControlPr xmlns="http://schemas.microsoft.com/office/spreadsheetml/2009/9/main" objectType="CheckBox" fmlaLink="Task_Data!$AJ$36" lockText="1" noThreeD="1"/>
</file>

<file path=xl/ctrlProps/ctrlProp1083.xml><?xml version="1.0" encoding="utf-8"?>
<formControlPr xmlns="http://schemas.microsoft.com/office/spreadsheetml/2009/9/main" objectType="CheckBox" fmlaLink="Task_Data!$AK$36" lockText="1" noThreeD="1"/>
</file>

<file path=xl/ctrlProps/ctrlProp1084.xml><?xml version="1.0" encoding="utf-8"?>
<formControlPr xmlns="http://schemas.microsoft.com/office/spreadsheetml/2009/9/main" objectType="CheckBox" fmlaLink="Task_Data!$AL$36" lockText="1" noThreeD="1"/>
</file>

<file path=xl/ctrlProps/ctrlProp1085.xml><?xml version="1.0" encoding="utf-8"?>
<formControlPr xmlns="http://schemas.microsoft.com/office/spreadsheetml/2009/9/main" objectType="CheckBox" fmlaLink="Task_Data!$H$37" lockText="1" noThreeD="1"/>
</file>

<file path=xl/ctrlProps/ctrlProp1086.xml><?xml version="1.0" encoding="utf-8"?>
<formControlPr xmlns="http://schemas.microsoft.com/office/spreadsheetml/2009/9/main" objectType="CheckBox" fmlaLink="Task_Data!$I$37" lockText="1" noThreeD="1"/>
</file>

<file path=xl/ctrlProps/ctrlProp1087.xml><?xml version="1.0" encoding="utf-8"?>
<formControlPr xmlns="http://schemas.microsoft.com/office/spreadsheetml/2009/9/main" objectType="CheckBox" fmlaLink="Task_Data!$J$37" lockText="1" noThreeD="1"/>
</file>

<file path=xl/ctrlProps/ctrlProp1088.xml><?xml version="1.0" encoding="utf-8"?>
<formControlPr xmlns="http://schemas.microsoft.com/office/spreadsheetml/2009/9/main" objectType="CheckBox" fmlaLink="Task_Data!$K$37" lockText="1" noThreeD="1"/>
</file>

<file path=xl/ctrlProps/ctrlProp1089.xml><?xml version="1.0" encoding="utf-8"?>
<formControlPr xmlns="http://schemas.microsoft.com/office/spreadsheetml/2009/9/main" objectType="CheckBox" fmlaLink="Task_Data!$L$37" lockText="1" noThreeD="1"/>
</file>

<file path=xl/ctrlProps/ctrlProp1090.xml><?xml version="1.0" encoding="utf-8"?>
<formControlPr xmlns="http://schemas.microsoft.com/office/spreadsheetml/2009/9/main" objectType="CheckBox" fmlaLink="Task_Data!$M$37" lockText="1" noThreeD="1"/>
</file>

<file path=xl/ctrlProps/ctrlProp1091.xml><?xml version="1.0" encoding="utf-8"?>
<formControlPr xmlns="http://schemas.microsoft.com/office/spreadsheetml/2009/9/main" objectType="CheckBox" fmlaLink="Task_Data!$N$37" lockText="1" noThreeD="1"/>
</file>

<file path=xl/ctrlProps/ctrlProp1092.xml><?xml version="1.0" encoding="utf-8"?>
<formControlPr xmlns="http://schemas.microsoft.com/office/spreadsheetml/2009/9/main" objectType="CheckBox" fmlaLink="Task_Data!$O$37" lockText="1" noThreeD="1"/>
</file>

<file path=xl/ctrlProps/ctrlProp1093.xml><?xml version="1.0" encoding="utf-8"?>
<formControlPr xmlns="http://schemas.microsoft.com/office/spreadsheetml/2009/9/main" objectType="CheckBox" fmlaLink="Task_Data!$P$37" lockText="1" noThreeD="1"/>
</file>

<file path=xl/ctrlProps/ctrlProp1094.xml><?xml version="1.0" encoding="utf-8"?>
<formControlPr xmlns="http://schemas.microsoft.com/office/spreadsheetml/2009/9/main" objectType="CheckBox" fmlaLink="Task_Data!$Q$37" lockText="1" noThreeD="1"/>
</file>

<file path=xl/ctrlProps/ctrlProp1095.xml><?xml version="1.0" encoding="utf-8"?>
<formControlPr xmlns="http://schemas.microsoft.com/office/spreadsheetml/2009/9/main" objectType="CheckBox" fmlaLink="Task_Data!$R$37" lockText="1" noThreeD="1"/>
</file>

<file path=xl/ctrlProps/ctrlProp1096.xml><?xml version="1.0" encoding="utf-8"?>
<formControlPr xmlns="http://schemas.microsoft.com/office/spreadsheetml/2009/9/main" objectType="CheckBox" fmlaLink="Task_Data!$S$37" lockText="1" noThreeD="1"/>
</file>

<file path=xl/ctrlProps/ctrlProp1097.xml><?xml version="1.0" encoding="utf-8"?>
<formControlPr xmlns="http://schemas.microsoft.com/office/spreadsheetml/2009/9/main" objectType="CheckBox" fmlaLink="Task_Data!$T$37" lockText="1" noThreeD="1"/>
</file>

<file path=xl/ctrlProps/ctrlProp1098.xml><?xml version="1.0" encoding="utf-8"?>
<formControlPr xmlns="http://schemas.microsoft.com/office/spreadsheetml/2009/9/main" objectType="CheckBox" fmlaLink="Task_Data!$U$37" lockText="1" noThreeD="1"/>
</file>

<file path=xl/ctrlProps/ctrlProp1099.xml><?xml version="1.0" encoding="utf-8"?>
<formControlPr xmlns="http://schemas.microsoft.com/office/spreadsheetml/2009/9/main" objectType="CheckBox" fmlaLink="Task_Data!$V$37" lockText="1" noThreeD="1"/>
</file>

<file path=xl/ctrlProps/ctrlProp1100.xml><?xml version="1.0" encoding="utf-8"?>
<formControlPr xmlns="http://schemas.microsoft.com/office/spreadsheetml/2009/9/main" objectType="CheckBox" fmlaLink="Task_Data!$W$37" lockText="1" noThreeD="1"/>
</file>

<file path=xl/ctrlProps/ctrlProp1101.xml><?xml version="1.0" encoding="utf-8"?>
<formControlPr xmlns="http://schemas.microsoft.com/office/spreadsheetml/2009/9/main" objectType="CheckBox" fmlaLink="Task_Data!$X$37" lockText="1" noThreeD="1"/>
</file>

<file path=xl/ctrlProps/ctrlProp1102.xml><?xml version="1.0" encoding="utf-8"?>
<formControlPr xmlns="http://schemas.microsoft.com/office/spreadsheetml/2009/9/main" objectType="CheckBox" fmlaLink="Task_Data!$Y$37" lockText="1" noThreeD="1"/>
</file>

<file path=xl/ctrlProps/ctrlProp1103.xml><?xml version="1.0" encoding="utf-8"?>
<formControlPr xmlns="http://schemas.microsoft.com/office/spreadsheetml/2009/9/main" objectType="CheckBox" fmlaLink="Task_Data!$Z$37" lockText="1" noThreeD="1"/>
</file>

<file path=xl/ctrlProps/ctrlProp1104.xml><?xml version="1.0" encoding="utf-8"?>
<formControlPr xmlns="http://schemas.microsoft.com/office/spreadsheetml/2009/9/main" objectType="CheckBox" fmlaLink="Task_Data!$AA$37" lockText="1" noThreeD="1"/>
</file>

<file path=xl/ctrlProps/ctrlProp1105.xml><?xml version="1.0" encoding="utf-8"?>
<formControlPr xmlns="http://schemas.microsoft.com/office/spreadsheetml/2009/9/main" objectType="CheckBox" fmlaLink="Task_Data!$AB$37" lockText="1" noThreeD="1"/>
</file>

<file path=xl/ctrlProps/ctrlProp1106.xml><?xml version="1.0" encoding="utf-8"?>
<formControlPr xmlns="http://schemas.microsoft.com/office/spreadsheetml/2009/9/main" objectType="CheckBox" fmlaLink="Task_Data!$AC$37" lockText="1" noThreeD="1"/>
</file>

<file path=xl/ctrlProps/ctrlProp1107.xml><?xml version="1.0" encoding="utf-8"?>
<formControlPr xmlns="http://schemas.microsoft.com/office/spreadsheetml/2009/9/main" objectType="CheckBox" fmlaLink="Task_Data!$AD$37" lockText="1" noThreeD="1"/>
</file>

<file path=xl/ctrlProps/ctrlProp1108.xml><?xml version="1.0" encoding="utf-8"?>
<formControlPr xmlns="http://schemas.microsoft.com/office/spreadsheetml/2009/9/main" objectType="CheckBox" fmlaLink="Task_Data!$AE$37" lockText="1" noThreeD="1"/>
</file>

<file path=xl/ctrlProps/ctrlProp1109.xml><?xml version="1.0" encoding="utf-8"?>
<formControlPr xmlns="http://schemas.microsoft.com/office/spreadsheetml/2009/9/main" objectType="CheckBox" fmlaLink="Task_Data!$AF$37" lockText="1" noThreeD="1"/>
</file>

<file path=xl/ctrlProps/ctrlProp1110.xml><?xml version="1.0" encoding="utf-8"?>
<formControlPr xmlns="http://schemas.microsoft.com/office/spreadsheetml/2009/9/main" objectType="CheckBox" fmlaLink="Task_Data!$AG$37" lockText="1" noThreeD="1"/>
</file>

<file path=xl/ctrlProps/ctrlProp1111.xml><?xml version="1.0" encoding="utf-8"?>
<formControlPr xmlns="http://schemas.microsoft.com/office/spreadsheetml/2009/9/main" objectType="CheckBox" fmlaLink="Task_Data!$AH$37" lockText="1" noThreeD="1"/>
</file>

<file path=xl/ctrlProps/ctrlProp1112.xml><?xml version="1.0" encoding="utf-8"?>
<formControlPr xmlns="http://schemas.microsoft.com/office/spreadsheetml/2009/9/main" objectType="CheckBox" fmlaLink="Task_Data!$AI$37" lockText="1" noThreeD="1"/>
</file>

<file path=xl/ctrlProps/ctrlProp1113.xml><?xml version="1.0" encoding="utf-8"?>
<formControlPr xmlns="http://schemas.microsoft.com/office/spreadsheetml/2009/9/main" objectType="CheckBox" fmlaLink="Task_Data!$AJ$37" lockText="1" noThreeD="1"/>
</file>

<file path=xl/ctrlProps/ctrlProp1114.xml><?xml version="1.0" encoding="utf-8"?>
<formControlPr xmlns="http://schemas.microsoft.com/office/spreadsheetml/2009/9/main" objectType="CheckBox" fmlaLink="Task_Data!$AK$37" lockText="1" noThreeD="1"/>
</file>

<file path=xl/ctrlProps/ctrlProp1115.xml><?xml version="1.0" encoding="utf-8"?>
<formControlPr xmlns="http://schemas.microsoft.com/office/spreadsheetml/2009/9/main" objectType="CheckBox" fmlaLink="Task_Data!$AL$37" lockText="1" noThreeD="1"/>
</file>

<file path=xl/ctrlProps/ctrlProp1116.xml><?xml version="1.0" encoding="utf-8"?>
<formControlPr xmlns="http://schemas.microsoft.com/office/spreadsheetml/2009/9/main" objectType="CheckBox" fmlaLink="Task_Data!$H$38" lockText="1" noThreeD="1"/>
</file>

<file path=xl/ctrlProps/ctrlProp1117.xml><?xml version="1.0" encoding="utf-8"?>
<formControlPr xmlns="http://schemas.microsoft.com/office/spreadsheetml/2009/9/main" objectType="CheckBox" fmlaLink="Task_Data!$I$38" lockText="1" noThreeD="1"/>
</file>

<file path=xl/ctrlProps/ctrlProp1118.xml><?xml version="1.0" encoding="utf-8"?>
<formControlPr xmlns="http://schemas.microsoft.com/office/spreadsheetml/2009/9/main" objectType="CheckBox" fmlaLink="Task_Data!$J$38" lockText="1" noThreeD="1"/>
</file>

<file path=xl/ctrlProps/ctrlProp1119.xml><?xml version="1.0" encoding="utf-8"?>
<formControlPr xmlns="http://schemas.microsoft.com/office/spreadsheetml/2009/9/main" objectType="CheckBox" fmlaLink="Task_Data!$K$38" lockText="1" noThreeD="1"/>
</file>

<file path=xl/ctrlProps/ctrlProp1120.xml><?xml version="1.0" encoding="utf-8"?>
<formControlPr xmlns="http://schemas.microsoft.com/office/spreadsheetml/2009/9/main" objectType="CheckBox" fmlaLink="Task_Data!$L$38" lockText="1" noThreeD="1"/>
</file>

<file path=xl/ctrlProps/ctrlProp1121.xml><?xml version="1.0" encoding="utf-8"?>
<formControlPr xmlns="http://schemas.microsoft.com/office/spreadsheetml/2009/9/main" objectType="CheckBox" fmlaLink="Task_Data!$M$38" lockText="1" noThreeD="1"/>
</file>

<file path=xl/ctrlProps/ctrlProp1122.xml><?xml version="1.0" encoding="utf-8"?>
<formControlPr xmlns="http://schemas.microsoft.com/office/spreadsheetml/2009/9/main" objectType="CheckBox" fmlaLink="Task_Data!$N$38" lockText="1" noThreeD="1"/>
</file>

<file path=xl/ctrlProps/ctrlProp1123.xml><?xml version="1.0" encoding="utf-8"?>
<formControlPr xmlns="http://schemas.microsoft.com/office/spreadsheetml/2009/9/main" objectType="CheckBox" fmlaLink="Task_Data!$O$38" lockText="1" noThreeD="1"/>
</file>

<file path=xl/ctrlProps/ctrlProp1124.xml><?xml version="1.0" encoding="utf-8"?>
<formControlPr xmlns="http://schemas.microsoft.com/office/spreadsheetml/2009/9/main" objectType="CheckBox" fmlaLink="Task_Data!$P$38" lockText="1" noThreeD="1"/>
</file>

<file path=xl/ctrlProps/ctrlProp1125.xml><?xml version="1.0" encoding="utf-8"?>
<formControlPr xmlns="http://schemas.microsoft.com/office/spreadsheetml/2009/9/main" objectType="CheckBox" fmlaLink="Task_Data!$Q$38" lockText="1" noThreeD="1"/>
</file>

<file path=xl/ctrlProps/ctrlProp1126.xml><?xml version="1.0" encoding="utf-8"?>
<formControlPr xmlns="http://schemas.microsoft.com/office/spreadsheetml/2009/9/main" objectType="CheckBox" fmlaLink="Task_Data!$R$38" lockText="1" noThreeD="1"/>
</file>

<file path=xl/ctrlProps/ctrlProp1127.xml><?xml version="1.0" encoding="utf-8"?>
<formControlPr xmlns="http://schemas.microsoft.com/office/spreadsheetml/2009/9/main" objectType="CheckBox" fmlaLink="Task_Data!$S$38" lockText="1" noThreeD="1"/>
</file>

<file path=xl/ctrlProps/ctrlProp1128.xml><?xml version="1.0" encoding="utf-8"?>
<formControlPr xmlns="http://schemas.microsoft.com/office/spreadsheetml/2009/9/main" objectType="CheckBox" fmlaLink="Task_Data!$T$38" lockText="1" noThreeD="1"/>
</file>

<file path=xl/ctrlProps/ctrlProp1129.xml><?xml version="1.0" encoding="utf-8"?>
<formControlPr xmlns="http://schemas.microsoft.com/office/spreadsheetml/2009/9/main" objectType="CheckBox" fmlaLink="Task_Data!$U$38" lockText="1" noThreeD="1"/>
</file>

<file path=xl/ctrlProps/ctrlProp1130.xml><?xml version="1.0" encoding="utf-8"?>
<formControlPr xmlns="http://schemas.microsoft.com/office/spreadsheetml/2009/9/main" objectType="CheckBox" fmlaLink="Task_Data!$V$38" lockText="1" noThreeD="1"/>
</file>

<file path=xl/ctrlProps/ctrlProp1131.xml><?xml version="1.0" encoding="utf-8"?>
<formControlPr xmlns="http://schemas.microsoft.com/office/spreadsheetml/2009/9/main" objectType="CheckBox" fmlaLink="Task_Data!$W$38" lockText="1" noThreeD="1"/>
</file>

<file path=xl/ctrlProps/ctrlProp1132.xml><?xml version="1.0" encoding="utf-8"?>
<formControlPr xmlns="http://schemas.microsoft.com/office/spreadsheetml/2009/9/main" objectType="CheckBox" fmlaLink="Task_Data!$X$38" lockText="1" noThreeD="1"/>
</file>

<file path=xl/ctrlProps/ctrlProp1133.xml><?xml version="1.0" encoding="utf-8"?>
<formControlPr xmlns="http://schemas.microsoft.com/office/spreadsheetml/2009/9/main" objectType="CheckBox" fmlaLink="Task_Data!$Y$38" lockText="1" noThreeD="1"/>
</file>

<file path=xl/ctrlProps/ctrlProp1134.xml><?xml version="1.0" encoding="utf-8"?>
<formControlPr xmlns="http://schemas.microsoft.com/office/spreadsheetml/2009/9/main" objectType="CheckBox" fmlaLink="Task_Data!$Z$38" lockText="1" noThreeD="1"/>
</file>

<file path=xl/ctrlProps/ctrlProp1135.xml><?xml version="1.0" encoding="utf-8"?>
<formControlPr xmlns="http://schemas.microsoft.com/office/spreadsheetml/2009/9/main" objectType="CheckBox" fmlaLink="Task_Data!$AA$38" lockText="1" noThreeD="1"/>
</file>

<file path=xl/ctrlProps/ctrlProp1136.xml><?xml version="1.0" encoding="utf-8"?>
<formControlPr xmlns="http://schemas.microsoft.com/office/spreadsheetml/2009/9/main" objectType="CheckBox" fmlaLink="Task_Data!$AB$38" lockText="1" noThreeD="1"/>
</file>

<file path=xl/ctrlProps/ctrlProp1137.xml><?xml version="1.0" encoding="utf-8"?>
<formControlPr xmlns="http://schemas.microsoft.com/office/spreadsheetml/2009/9/main" objectType="CheckBox" fmlaLink="Task_Data!$AC$38" lockText="1" noThreeD="1"/>
</file>

<file path=xl/ctrlProps/ctrlProp1138.xml><?xml version="1.0" encoding="utf-8"?>
<formControlPr xmlns="http://schemas.microsoft.com/office/spreadsheetml/2009/9/main" objectType="CheckBox" fmlaLink="Task_Data!$AD$38" lockText="1" noThreeD="1"/>
</file>

<file path=xl/ctrlProps/ctrlProp1139.xml><?xml version="1.0" encoding="utf-8"?>
<formControlPr xmlns="http://schemas.microsoft.com/office/spreadsheetml/2009/9/main" objectType="CheckBox" fmlaLink="Task_Data!$AE$38" lockText="1" noThreeD="1"/>
</file>

<file path=xl/ctrlProps/ctrlProp1140.xml><?xml version="1.0" encoding="utf-8"?>
<formControlPr xmlns="http://schemas.microsoft.com/office/spreadsheetml/2009/9/main" objectType="CheckBox" fmlaLink="Task_Data!$AF$38" lockText="1" noThreeD="1"/>
</file>

<file path=xl/ctrlProps/ctrlProp1141.xml><?xml version="1.0" encoding="utf-8"?>
<formControlPr xmlns="http://schemas.microsoft.com/office/spreadsheetml/2009/9/main" objectType="CheckBox" fmlaLink="Task_Data!$AG$38" lockText="1" noThreeD="1"/>
</file>

<file path=xl/ctrlProps/ctrlProp1142.xml><?xml version="1.0" encoding="utf-8"?>
<formControlPr xmlns="http://schemas.microsoft.com/office/spreadsheetml/2009/9/main" objectType="CheckBox" fmlaLink="Task_Data!$AH$38" lockText="1" noThreeD="1"/>
</file>

<file path=xl/ctrlProps/ctrlProp1143.xml><?xml version="1.0" encoding="utf-8"?>
<formControlPr xmlns="http://schemas.microsoft.com/office/spreadsheetml/2009/9/main" objectType="CheckBox" fmlaLink="Task_Data!$AI$38" lockText="1" noThreeD="1"/>
</file>

<file path=xl/ctrlProps/ctrlProp1144.xml><?xml version="1.0" encoding="utf-8"?>
<formControlPr xmlns="http://schemas.microsoft.com/office/spreadsheetml/2009/9/main" objectType="CheckBox" fmlaLink="Task_Data!$AJ$38" lockText="1" noThreeD="1"/>
</file>

<file path=xl/ctrlProps/ctrlProp1145.xml><?xml version="1.0" encoding="utf-8"?>
<formControlPr xmlns="http://schemas.microsoft.com/office/spreadsheetml/2009/9/main" objectType="CheckBox" fmlaLink="Task_Data!$AK$38" lockText="1" noThreeD="1"/>
</file>

<file path=xl/ctrlProps/ctrlProp1146.xml><?xml version="1.0" encoding="utf-8"?>
<formControlPr xmlns="http://schemas.microsoft.com/office/spreadsheetml/2009/9/main" objectType="CheckBox" fmlaLink="Task_Data!$AL$38" lockText="1" noThreeD="1"/>
</file>

<file path=xl/ctrlProps/ctrlProp1147.xml><?xml version="1.0" encoding="utf-8"?>
<formControlPr xmlns="http://schemas.microsoft.com/office/spreadsheetml/2009/9/main" objectType="CheckBox" fmlaLink="Task_Data!$H$39" lockText="1" noThreeD="1"/>
</file>

<file path=xl/ctrlProps/ctrlProp1148.xml><?xml version="1.0" encoding="utf-8"?>
<formControlPr xmlns="http://schemas.microsoft.com/office/spreadsheetml/2009/9/main" objectType="CheckBox" fmlaLink="Task_Data!$I$39" lockText="1" noThreeD="1"/>
</file>

<file path=xl/ctrlProps/ctrlProp1149.xml><?xml version="1.0" encoding="utf-8"?>
<formControlPr xmlns="http://schemas.microsoft.com/office/spreadsheetml/2009/9/main" objectType="CheckBox" fmlaLink="Task_Data!$J$39" lockText="1" noThreeD="1"/>
</file>

<file path=xl/ctrlProps/ctrlProp1150.xml><?xml version="1.0" encoding="utf-8"?>
<formControlPr xmlns="http://schemas.microsoft.com/office/spreadsheetml/2009/9/main" objectType="CheckBox" fmlaLink="Task_Data!$K$39" lockText="1" noThreeD="1"/>
</file>

<file path=xl/ctrlProps/ctrlProp1151.xml><?xml version="1.0" encoding="utf-8"?>
<formControlPr xmlns="http://schemas.microsoft.com/office/spreadsheetml/2009/9/main" objectType="CheckBox" fmlaLink="Task_Data!$L$39" lockText="1" noThreeD="1"/>
</file>

<file path=xl/ctrlProps/ctrlProp1152.xml><?xml version="1.0" encoding="utf-8"?>
<formControlPr xmlns="http://schemas.microsoft.com/office/spreadsheetml/2009/9/main" objectType="CheckBox" fmlaLink="Task_Data!$M$39" lockText="1" noThreeD="1"/>
</file>

<file path=xl/ctrlProps/ctrlProp1153.xml><?xml version="1.0" encoding="utf-8"?>
<formControlPr xmlns="http://schemas.microsoft.com/office/spreadsheetml/2009/9/main" objectType="CheckBox" fmlaLink="Task_Data!$N$39" lockText="1" noThreeD="1"/>
</file>

<file path=xl/ctrlProps/ctrlProp1154.xml><?xml version="1.0" encoding="utf-8"?>
<formControlPr xmlns="http://schemas.microsoft.com/office/spreadsheetml/2009/9/main" objectType="CheckBox" fmlaLink="Task_Data!$O$39" lockText="1" noThreeD="1"/>
</file>

<file path=xl/ctrlProps/ctrlProp1155.xml><?xml version="1.0" encoding="utf-8"?>
<formControlPr xmlns="http://schemas.microsoft.com/office/spreadsheetml/2009/9/main" objectType="CheckBox" fmlaLink="Task_Data!$P$39" lockText="1" noThreeD="1"/>
</file>

<file path=xl/ctrlProps/ctrlProp1156.xml><?xml version="1.0" encoding="utf-8"?>
<formControlPr xmlns="http://schemas.microsoft.com/office/spreadsheetml/2009/9/main" objectType="CheckBox" fmlaLink="Task_Data!$Q$39" lockText="1" noThreeD="1"/>
</file>

<file path=xl/ctrlProps/ctrlProp1157.xml><?xml version="1.0" encoding="utf-8"?>
<formControlPr xmlns="http://schemas.microsoft.com/office/spreadsheetml/2009/9/main" objectType="CheckBox" fmlaLink="Task_Data!$R$39" lockText="1" noThreeD="1"/>
</file>

<file path=xl/ctrlProps/ctrlProp1158.xml><?xml version="1.0" encoding="utf-8"?>
<formControlPr xmlns="http://schemas.microsoft.com/office/spreadsheetml/2009/9/main" objectType="CheckBox" fmlaLink="Task_Data!$S$39" lockText="1" noThreeD="1"/>
</file>

<file path=xl/ctrlProps/ctrlProp1159.xml><?xml version="1.0" encoding="utf-8"?>
<formControlPr xmlns="http://schemas.microsoft.com/office/spreadsheetml/2009/9/main" objectType="CheckBox" fmlaLink="Task_Data!$T$39" lockText="1" noThreeD="1"/>
</file>

<file path=xl/ctrlProps/ctrlProp1160.xml><?xml version="1.0" encoding="utf-8"?>
<formControlPr xmlns="http://schemas.microsoft.com/office/spreadsheetml/2009/9/main" objectType="CheckBox" fmlaLink="Task_Data!$U$39" lockText="1" noThreeD="1"/>
</file>

<file path=xl/ctrlProps/ctrlProp1161.xml><?xml version="1.0" encoding="utf-8"?>
<formControlPr xmlns="http://schemas.microsoft.com/office/spreadsheetml/2009/9/main" objectType="CheckBox" fmlaLink="Task_Data!$V$39" lockText="1" noThreeD="1"/>
</file>

<file path=xl/ctrlProps/ctrlProp1162.xml><?xml version="1.0" encoding="utf-8"?>
<formControlPr xmlns="http://schemas.microsoft.com/office/spreadsheetml/2009/9/main" objectType="CheckBox" fmlaLink="Task_Data!$W$39" lockText="1" noThreeD="1"/>
</file>

<file path=xl/ctrlProps/ctrlProp1163.xml><?xml version="1.0" encoding="utf-8"?>
<formControlPr xmlns="http://schemas.microsoft.com/office/spreadsheetml/2009/9/main" objectType="CheckBox" fmlaLink="Task_Data!$X$39" lockText="1" noThreeD="1"/>
</file>

<file path=xl/ctrlProps/ctrlProp1164.xml><?xml version="1.0" encoding="utf-8"?>
<formControlPr xmlns="http://schemas.microsoft.com/office/spreadsheetml/2009/9/main" objectType="CheckBox" fmlaLink="Task_Data!$Y$39" lockText="1" noThreeD="1"/>
</file>

<file path=xl/ctrlProps/ctrlProp1165.xml><?xml version="1.0" encoding="utf-8"?>
<formControlPr xmlns="http://schemas.microsoft.com/office/spreadsheetml/2009/9/main" objectType="CheckBox" fmlaLink="Task_Data!$Z$39" lockText="1" noThreeD="1"/>
</file>

<file path=xl/ctrlProps/ctrlProp1166.xml><?xml version="1.0" encoding="utf-8"?>
<formControlPr xmlns="http://schemas.microsoft.com/office/spreadsheetml/2009/9/main" objectType="CheckBox" fmlaLink="Task_Data!$AA$39" lockText="1" noThreeD="1"/>
</file>

<file path=xl/ctrlProps/ctrlProp1167.xml><?xml version="1.0" encoding="utf-8"?>
<formControlPr xmlns="http://schemas.microsoft.com/office/spreadsheetml/2009/9/main" objectType="CheckBox" fmlaLink="Task_Data!$AB$39" lockText="1" noThreeD="1"/>
</file>

<file path=xl/ctrlProps/ctrlProp1168.xml><?xml version="1.0" encoding="utf-8"?>
<formControlPr xmlns="http://schemas.microsoft.com/office/spreadsheetml/2009/9/main" objectType="CheckBox" fmlaLink="Task_Data!$AC$39" lockText="1" noThreeD="1"/>
</file>

<file path=xl/ctrlProps/ctrlProp1169.xml><?xml version="1.0" encoding="utf-8"?>
<formControlPr xmlns="http://schemas.microsoft.com/office/spreadsheetml/2009/9/main" objectType="CheckBox" fmlaLink="Task_Data!$AD$39" lockText="1" noThreeD="1"/>
</file>

<file path=xl/ctrlProps/ctrlProp1170.xml><?xml version="1.0" encoding="utf-8"?>
<formControlPr xmlns="http://schemas.microsoft.com/office/spreadsheetml/2009/9/main" objectType="CheckBox" fmlaLink="Task_Data!$AE$39" lockText="1" noThreeD="1"/>
</file>

<file path=xl/ctrlProps/ctrlProp1171.xml><?xml version="1.0" encoding="utf-8"?>
<formControlPr xmlns="http://schemas.microsoft.com/office/spreadsheetml/2009/9/main" objectType="CheckBox" fmlaLink="Task_Data!$AF$39" lockText="1" noThreeD="1"/>
</file>

<file path=xl/ctrlProps/ctrlProp1172.xml><?xml version="1.0" encoding="utf-8"?>
<formControlPr xmlns="http://schemas.microsoft.com/office/spreadsheetml/2009/9/main" objectType="CheckBox" fmlaLink="Task_Data!$AG$39" lockText="1" noThreeD="1"/>
</file>

<file path=xl/ctrlProps/ctrlProp1173.xml><?xml version="1.0" encoding="utf-8"?>
<formControlPr xmlns="http://schemas.microsoft.com/office/spreadsheetml/2009/9/main" objectType="CheckBox" fmlaLink="Task_Data!$AH$39" lockText="1" noThreeD="1"/>
</file>

<file path=xl/ctrlProps/ctrlProp1174.xml><?xml version="1.0" encoding="utf-8"?>
<formControlPr xmlns="http://schemas.microsoft.com/office/spreadsheetml/2009/9/main" objectType="CheckBox" fmlaLink="Task_Data!$AI$39" lockText="1" noThreeD="1"/>
</file>

<file path=xl/ctrlProps/ctrlProp1175.xml><?xml version="1.0" encoding="utf-8"?>
<formControlPr xmlns="http://schemas.microsoft.com/office/spreadsheetml/2009/9/main" objectType="CheckBox" fmlaLink="Task_Data!$AJ$39" lockText="1" noThreeD="1"/>
</file>

<file path=xl/ctrlProps/ctrlProp1176.xml><?xml version="1.0" encoding="utf-8"?>
<formControlPr xmlns="http://schemas.microsoft.com/office/spreadsheetml/2009/9/main" objectType="CheckBox" fmlaLink="Task_Data!$AK$39" lockText="1" noThreeD="1"/>
</file>

<file path=xl/ctrlProps/ctrlProp1177.xml><?xml version="1.0" encoding="utf-8"?>
<formControlPr xmlns="http://schemas.microsoft.com/office/spreadsheetml/2009/9/main" objectType="CheckBox" fmlaLink="Task_Data!$AL$39" lockText="1" noThreeD="1"/>
</file>

<file path=xl/ctrlProps/ctrlProp1178.xml><?xml version="1.0" encoding="utf-8"?>
<formControlPr xmlns="http://schemas.microsoft.com/office/spreadsheetml/2009/9/main" objectType="CheckBox" fmlaLink="Task_Data!$H$40" lockText="1" noThreeD="1"/>
</file>

<file path=xl/ctrlProps/ctrlProp1179.xml><?xml version="1.0" encoding="utf-8"?>
<formControlPr xmlns="http://schemas.microsoft.com/office/spreadsheetml/2009/9/main" objectType="CheckBox" fmlaLink="Task_Data!$I$40" lockText="1" noThreeD="1"/>
</file>

<file path=xl/ctrlProps/ctrlProp1180.xml><?xml version="1.0" encoding="utf-8"?>
<formControlPr xmlns="http://schemas.microsoft.com/office/spreadsheetml/2009/9/main" objectType="CheckBox" fmlaLink="Task_Data!$J$40" lockText="1" noThreeD="1"/>
</file>

<file path=xl/ctrlProps/ctrlProp1181.xml><?xml version="1.0" encoding="utf-8"?>
<formControlPr xmlns="http://schemas.microsoft.com/office/spreadsheetml/2009/9/main" objectType="CheckBox" fmlaLink="Task_Data!$K$40" lockText="1" noThreeD="1"/>
</file>

<file path=xl/ctrlProps/ctrlProp1182.xml><?xml version="1.0" encoding="utf-8"?>
<formControlPr xmlns="http://schemas.microsoft.com/office/spreadsheetml/2009/9/main" objectType="CheckBox" fmlaLink="Task_Data!$L$40" lockText="1" noThreeD="1"/>
</file>

<file path=xl/ctrlProps/ctrlProp1183.xml><?xml version="1.0" encoding="utf-8"?>
<formControlPr xmlns="http://schemas.microsoft.com/office/spreadsheetml/2009/9/main" objectType="CheckBox" fmlaLink="Task_Data!$M$40" lockText="1" noThreeD="1"/>
</file>

<file path=xl/ctrlProps/ctrlProp1184.xml><?xml version="1.0" encoding="utf-8"?>
<formControlPr xmlns="http://schemas.microsoft.com/office/spreadsheetml/2009/9/main" objectType="CheckBox" fmlaLink="Task_Data!$N$40" lockText="1" noThreeD="1"/>
</file>

<file path=xl/ctrlProps/ctrlProp1185.xml><?xml version="1.0" encoding="utf-8"?>
<formControlPr xmlns="http://schemas.microsoft.com/office/spreadsheetml/2009/9/main" objectType="CheckBox" fmlaLink="Task_Data!$O$40" lockText="1" noThreeD="1"/>
</file>

<file path=xl/ctrlProps/ctrlProp1186.xml><?xml version="1.0" encoding="utf-8"?>
<formControlPr xmlns="http://schemas.microsoft.com/office/spreadsheetml/2009/9/main" objectType="CheckBox" fmlaLink="Task_Data!$P$40" lockText="1" noThreeD="1"/>
</file>

<file path=xl/ctrlProps/ctrlProp1187.xml><?xml version="1.0" encoding="utf-8"?>
<formControlPr xmlns="http://schemas.microsoft.com/office/spreadsheetml/2009/9/main" objectType="CheckBox" fmlaLink="Task_Data!$Q$40" lockText="1" noThreeD="1"/>
</file>

<file path=xl/ctrlProps/ctrlProp1188.xml><?xml version="1.0" encoding="utf-8"?>
<formControlPr xmlns="http://schemas.microsoft.com/office/spreadsheetml/2009/9/main" objectType="CheckBox" fmlaLink="Task_Data!$R$40" lockText="1" noThreeD="1"/>
</file>

<file path=xl/ctrlProps/ctrlProp1189.xml><?xml version="1.0" encoding="utf-8"?>
<formControlPr xmlns="http://schemas.microsoft.com/office/spreadsheetml/2009/9/main" objectType="CheckBox" fmlaLink="Task_Data!$S$40" lockText="1" noThreeD="1"/>
</file>

<file path=xl/ctrlProps/ctrlProp1190.xml><?xml version="1.0" encoding="utf-8"?>
<formControlPr xmlns="http://schemas.microsoft.com/office/spreadsheetml/2009/9/main" objectType="CheckBox" fmlaLink="Task_Data!$T$40" lockText="1" noThreeD="1"/>
</file>

<file path=xl/ctrlProps/ctrlProp1191.xml><?xml version="1.0" encoding="utf-8"?>
<formControlPr xmlns="http://schemas.microsoft.com/office/spreadsheetml/2009/9/main" objectType="CheckBox" fmlaLink="Task_Data!$U$40" lockText="1" noThreeD="1"/>
</file>

<file path=xl/ctrlProps/ctrlProp1192.xml><?xml version="1.0" encoding="utf-8"?>
<formControlPr xmlns="http://schemas.microsoft.com/office/spreadsheetml/2009/9/main" objectType="CheckBox" fmlaLink="Task_Data!$V$40" lockText="1" noThreeD="1"/>
</file>

<file path=xl/ctrlProps/ctrlProp1193.xml><?xml version="1.0" encoding="utf-8"?>
<formControlPr xmlns="http://schemas.microsoft.com/office/spreadsheetml/2009/9/main" objectType="CheckBox" fmlaLink="Task_Data!$W$40" lockText="1" noThreeD="1"/>
</file>

<file path=xl/ctrlProps/ctrlProp1194.xml><?xml version="1.0" encoding="utf-8"?>
<formControlPr xmlns="http://schemas.microsoft.com/office/spreadsheetml/2009/9/main" objectType="CheckBox" fmlaLink="Task_Data!$X$40" lockText="1" noThreeD="1"/>
</file>

<file path=xl/ctrlProps/ctrlProp1195.xml><?xml version="1.0" encoding="utf-8"?>
<formControlPr xmlns="http://schemas.microsoft.com/office/spreadsheetml/2009/9/main" objectType="CheckBox" fmlaLink="Task_Data!$Y$40" lockText="1" noThreeD="1"/>
</file>

<file path=xl/ctrlProps/ctrlProp1196.xml><?xml version="1.0" encoding="utf-8"?>
<formControlPr xmlns="http://schemas.microsoft.com/office/spreadsheetml/2009/9/main" objectType="CheckBox" fmlaLink="Task_Data!$Z$40" lockText="1" noThreeD="1"/>
</file>

<file path=xl/ctrlProps/ctrlProp1197.xml><?xml version="1.0" encoding="utf-8"?>
<formControlPr xmlns="http://schemas.microsoft.com/office/spreadsheetml/2009/9/main" objectType="CheckBox" fmlaLink="Task_Data!$AA$40" lockText="1" noThreeD="1"/>
</file>

<file path=xl/ctrlProps/ctrlProp1198.xml><?xml version="1.0" encoding="utf-8"?>
<formControlPr xmlns="http://schemas.microsoft.com/office/spreadsheetml/2009/9/main" objectType="CheckBox" fmlaLink="Task_Data!$AB$40" lockText="1" noThreeD="1"/>
</file>

<file path=xl/ctrlProps/ctrlProp1199.xml><?xml version="1.0" encoding="utf-8"?>
<formControlPr xmlns="http://schemas.microsoft.com/office/spreadsheetml/2009/9/main" objectType="CheckBox" fmlaLink="Task_Data!$AC$40" lockText="1" noThreeD="1"/>
</file>

<file path=xl/ctrlProps/ctrlProp1200.xml><?xml version="1.0" encoding="utf-8"?>
<formControlPr xmlns="http://schemas.microsoft.com/office/spreadsheetml/2009/9/main" objectType="CheckBox" fmlaLink="Task_Data!$AD$40" lockText="1" noThreeD="1"/>
</file>

<file path=xl/ctrlProps/ctrlProp1201.xml><?xml version="1.0" encoding="utf-8"?>
<formControlPr xmlns="http://schemas.microsoft.com/office/spreadsheetml/2009/9/main" objectType="CheckBox" fmlaLink="Task_Data!$AE$40" lockText="1" noThreeD="1"/>
</file>

<file path=xl/ctrlProps/ctrlProp1202.xml><?xml version="1.0" encoding="utf-8"?>
<formControlPr xmlns="http://schemas.microsoft.com/office/spreadsheetml/2009/9/main" objectType="CheckBox" fmlaLink="Task_Data!$AF$40" lockText="1" noThreeD="1"/>
</file>

<file path=xl/ctrlProps/ctrlProp1203.xml><?xml version="1.0" encoding="utf-8"?>
<formControlPr xmlns="http://schemas.microsoft.com/office/spreadsheetml/2009/9/main" objectType="CheckBox" fmlaLink="Task_Data!$AG$40" lockText="1" noThreeD="1"/>
</file>

<file path=xl/ctrlProps/ctrlProp1204.xml><?xml version="1.0" encoding="utf-8"?>
<formControlPr xmlns="http://schemas.microsoft.com/office/spreadsheetml/2009/9/main" objectType="CheckBox" fmlaLink="Task_Data!$AH$40" lockText="1" noThreeD="1"/>
</file>

<file path=xl/ctrlProps/ctrlProp1205.xml><?xml version="1.0" encoding="utf-8"?>
<formControlPr xmlns="http://schemas.microsoft.com/office/spreadsheetml/2009/9/main" objectType="CheckBox" fmlaLink="Task_Data!$AI$40" lockText="1" noThreeD="1"/>
</file>

<file path=xl/ctrlProps/ctrlProp1206.xml><?xml version="1.0" encoding="utf-8"?>
<formControlPr xmlns="http://schemas.microsoft.com/office/spreadsheetml/2009/9/main" objectType="CheckBox" fmlaLink="Task_Data!$AJ$40" lockText="1" noThreeD="1"/>
</file>

<file path=xl/ctrlProps/ctrlProp1207.xml><?xml version="1.0" encoding="utf-8"?>
<formControlPr xmlns="http://schemas.microsoft.com/office/spreadsheetml/2009/9/main" objectType="CheckBox" fmlaLink="Task_Data!$AK$40" lockText="1" noThreeD="1"/>
</file>

<file path=xl/ctrlProps/ctrlProp1208.xml><?xml version="1.0" encoding="utf-8"?>
<formControlPr xmlns="http://schemas.microsoft.com/office/spreadsheetml/2009/9/main" objectType="CheckBox" fmlaLink="Task_Data!$AL$40" lockText="1" noThreeD="1"/>
</file>

<file path=xl/ctrlProps/ctrlProp1209.xml><?xml version="1.0" encoding="utf-8"?>
<formControlPr xmlns="http://schemas.microsoft.com/office/spreadsheetml/2009/9/main" objectType="CheckBox" fmlaLink="Task_Data!$H$41" lockText="1" noThreeD="1"/>
</file>

<file path=xl/ctrlProps/ctrlProp1210.xml><?xml version="1.0" encoding="utf-8"?>
<formControlPr xmlns="http://schemas.microsoft.com/office/spreadsheetml/2009/9/main" objectType="CheckBox" fmlaLink="Task_Data!$I$41" lockText="1" noThreeD="1"/>
</file>

<file path=xl/ctrlProps/ctrlProp1211.xml><?xml version="1.0" encoding="utf-8"?>
<formControlPr xmlns="http://schemas.microsoft.com/office/spreadsheetml/2009/9/main" objectType="CheckBox" fmlaLink="Task_Data!$J$41" lockText="1" noThreeD="1"/>
</file>

<file path=xl/ctrlProps/ctrlProp1212.xml><?xml version="1.0" encoding="utf-8"?>
<formControlPr xmlns="http://schemas.microsoft.com/office/spreadsheetml/2009/9/main" objectType="CheckBox" fmlaLink="Task_Data!$K$41" lockText="1" noThreeD="1"/>
</file>

<file path=xl/ctrlProps/ctrlProp1213.xml><?xml version="1.0" encoding="utf-8"?>
<formControlPr xmlns="http://schemas.microsoft.com/office/spreadsheetml/2009/9/main" objectType="CheckBox" fmlaLink="Task_Data!$L$41" lockText="1" noThreeD="1"/>
</file>

<file path=xl/ctrlProps/ctrlProp1214.xml><?xml version="1.0" encoding="utf-8"?>
<formControlPr xmlns="http://schemas.microsoft.com/office/spreadsheetml/2009/9/main" objectType="CheckBox" fmlaLink="Task_Data!$M$41" lockText="1" noThreeD="1"/>
</file>

<file path=xl/ctrlProps/ctrlProp1215.xml><?xml version="1.0" encoding="utf-8"?>
<formControlPr xmlns="http://schemas.microsoft.com/office/spreadsheetml/2009/9/main" objectType="CheckBox" fmlaLink="Task_Data!$N$41" lockText="1" noThreeD="1"/>
</file>

<file path=xl/ctrlProps/ctrlProp1216.xml><?xml version="1.0" encoding="utf-8"?>
<formControlPr xmlns="http://schemas.microsoft.com/office/spreadsheetml/2009/9/main" objectType="CheckBox" fmlaLink="Task_Data!$O$41" lockText="1" noThreeD="1"/>
</file>

<file path=xl/ctrlProps/ctrlProp1217.xml><?xml version="1.0" encoding="utf-8"?>
<formControlPr xmlns="http://schemas.microsoft.com/office/spreadsheetml/2009/9/main" objectType="CheckBox" fmlaLink="Task_Data!$P$41" lockText="1" noThreeD="1"/>
</file>

<file path=xl/ctrlProps/ctrlProp1218.xml><?xml version="1.0" encoding="utf-8"?>
<formControlPr xmlns="http://schemas.microsoft.com/office/spreadsheetml/2009/9/main" objectType="CheckBox" fmlaLink="Task_Data!$Q$41" lockText="1" noThreeD="1"/>
</file>

<file path=xl/ctrlProps/ctrlProp1219.xml><?xml version="1.0" encoding="utf-8"?>
<formControlPr xmlns="http://schemas.microsoft.com/office/spreadsheetml/2009/9/main" objectType="CheckBox" fmlaLink="Task_Data!$R$41" lockText="1" noThreeD="1"/>
</file>

<file path=xl/ctrlProps/ctrlProp1220.xml><?xml version="1.0" encoding="utf-8"?>
<formControlPr xmlns="http://schemas.microsoft.com/office/spreadsheetml/2009/9/main" objectType="CheckBox" fmlaLink="Task_Data!$S$41" lockText="1" noThreeD="1"/>
</file>

<file path=xl/ctrlProps/ctrlProp1221.xml><?xml version="1.0" encoding="utf-8"?>
<formControlPr xmlns="http://schemas.microsoft.com/office/spreadsheetml/2009/9/main" objectType="CheckBox" fmlaLink="Task_Data!$T$41" lockText="1" noThreeD="1"/>
</file>

<file path=xl/ctrlProps/ctrlProp1222.xml><?xml version="1.0" encoding="utf-8"?>
<formControlPr xmlns="http://schemas.microsoft.com/office/spreadsheetml/2009/9/main" objectType="CheckBox" fmlaLink="Task_Data!$U$41" lockText="1" noThreeD="1"/>
</file>

<file path=xl/ctrlProps/ctrlProp1223.xml><?xml version="1.0" encoding="utf-8"?>
<formControlPr xmlns="http://schemas.microsoft.com/office/spreadsheetml/2009/9/main" objectType="CheckBox" fmlaLink="Task_Data!$V$41" lockText="1" noThreeD="1"/>
</file>

<file path=xl/ctrlProps/ctrlProp1224.xml><?xml version="1.0" encoding="utf-8"?>
<formControlPr xmlns="http://schemas.microsoft.com/office/spreadsheetml/2009/9/main" objectType="CheckBox" fmlaLink="Task_Data!$W$41" lockText="1" noThreeD="1"/>
</file>

<file path=xl/ctrlProps/ctrlProp1225.xml><?xml version="1.0" encoding="utf-8"?>
<formControlPr xmlns="http://schemas.microsoft.com/office/spreadsheetml/2009/9/main" objectType="CheckBox" fmlaLink="Task_Data!$X$41" lockText="1" noThreeD="1"/>
</file>

<file path=xl/ctrlProps/ctrlProp1226.xml><?xml version="1.0" encoding="utf-8"?>
<formControlPr xmlns="http://schemas.microsoft.com/office/spreadsheetml/2009/9/main" objectType="CheckBox" fmlaLink="Task_Data!$Y$41" lockText="1" noThreeD="1"/>
</file>

<file path=xl/ctrlProps/ctrlProp1227.xml><?xml version="1.0" encoding="utf-8"?>
<formControlPr xmlns="http://schemas.microsoft.com/office/spreadsheetml/2009/9/main" objectType="CheckBox" fmlaLink="Task_Data!$Z$41" lockText="1" noThreeD="1"/>
</file>

<file path=xl/ctrlProps/ctrlProp1228.xml><?xml version="1.0" encoding="utf-8"?>
<formControlPr xmlns="http://schemas.microsoft.com/office/spreadsheetml/2009/9/main" objectType="CheckBox" fmlaLink="Task_Data!$AA$41" lockText="1" noThreeD="1"/>
</file>

<file path=xl/ctrlProps/ctrlProp1229.xml><?xml version="1.0" encoding="utf-8"?>
<formControlPr xmlns="http://schemas.microsoft.com/office/spreadsheetml/2009/9/main" objectType="CheckBox" fmlaLink="Task_Data!$AB$41" lockText="1" noThreeD="1"/>
</file>

<file path=xl/ctrlProps/ctrlProp1230.xml><?xml version="1.0" encoding="utf-8"?>
<formControlPr xmlns="http://schemas.microsoft.com/office/spreadsheetml/2009/9/main" objectType="CheckBox" fmlaLink="Task_Data!$AC$41" lockText="1" noThreeD="1"/>
</file>

<file path=xl/ctrlProps/ctrlProp1231.xml><?xml version="1.0" encoding="utf-8"?>
<formControlPr xmlns="http://schemas.microsoft.com/office/spreadsheetml/2009/9/main" objectType="CheckBox" fmlaLink="Task_Data!$AD$41" lockText="1" noThreeD="1"/>
</file>

<file path=xl/ctrlProps/ctrlProp1232.xml><?xml version="1.0" encoding="utf-8"?>
<formControlPr xmlns="http://schemas.microsoft.com/office/spreadsheetml/2009/9/main" objectType="CheckBox" fmlaLink="Task_Data!$AE$41" lockText="1" noThreeD="1"/>
</file>

<file path=xl/ctrlProps/ctrlProp1233.xml><?xml version="1.0" encoding="utf-8"?>
<formControlPr xmlns="http://schemas.microsoft.com/office/spreadsheetml/2009/9/main" objectType="CheckBox" fmlaLink="Task_Data!$AF$41" lockText="1" noThreeD="1"/>
</file>

<file path=xl/ctrlProps/ctrlProp1234.xml><?xml version="1.0" encoding="utf-8"?>
<formControlPr xmlns="http://schemas.microsoft.com/office/spreadsheetml/2009/9/main" objectType="CheckBox" fmlaLink="Task_Data!$AG$41" lockText="1" noThreeD="1"/>
</file>

<file path=xl/ctrlProps/ctrlProp1235.xml><?xml version="1.0" encoding="utf-8"?>
<formControlPr xmlns="http://schemas.microsoft.com/office/spreadsheetml/2009/9/main" objectType="CheckBox" fmlaLink="Task_Data!$AH$41" lockText="1" noThreeD="1"/>
</file>

<file path=xl/ctrlProps/ctrlProp1236.xml><?xml version="1.0" encoding="utf-8"?>
<formControlPr xmlns="http://schemas.microsoft.com/office/spreadsheetml/2009/9/main" objectType="CheckBox" fmlaLink="Task_Data!$AI$41" lockText="1" noThreeD="1"/>
</file>

<file path=xl/ctrlProps/ctrlProp1237.xml><?xml version="1.0" encoding="utf-8"?>
<formControlPr xmlns="http://schemas.microsoft.com/office/spreadsheetml/2009/9/main" objectType="CheckBox" fmlaLink="Task_Data!$AJ$41" lockText="1" noThreeD="1"/>
</file>

<file path=xl/ctrlProps/ctrlProp1238.xml><?xml version="1.0" encoding="utf-8"?>
<formControlPr xmlns="http://schemas.microsoft.com/office/spreadsheetml/2009/9/main" objectType="CheckBox" fmlaLink="Task_Data!$AK$41" lockText="1" noThreeD="1"/>
</file>

<file path=xl/ctrlProps/ctrlProp1239.xml><?xml version="1.0" encoding="utf-8"?>
<formControlPr xmlns="http://schemas.microsoft.com/office/spreadsheetml/2009/9/main" objectType="CheckBox" fmlaLink="Task_Data!$AL$41" lockText="1" noThreeD="1"/>
</file>

<file path=xl/ctrlProps/ctrlProp1240.xml><?xml version="1.0" encoding="utf-8"?>
<formControlPr xmlns="http://schemas.microsoft.com/office/spreadsheetml/2009/9/main" objectType="CheckBox" fmlaLink="Task_Data!$H$42" lockText="1" noThreeD="1"/>
</file>

<file path=xl/ctrlProps/ctrlProp1241.xml><?xml version="1.0" encoding="utf-8"?>
<formControlPr xmlns="http://schemas.microsoft.com/office/spreadsheetml/2009/9/main" objectType="CheckBox" fmlaLink="Task_Data!$I$42" lockText="1" noThreeD="1"/>
</file>

<file path=xl/ctrlProps/ctrlProp1242.xml><?xml version="1.0" encoding="utf-8"?>
<formControlPr xmlns="http://schemas.microsoft.com/office/spreadsheetml/2009/9/main" objectType="CheckBox" fmlaLink="Task_Data!$J$42" lockText="1" noThreeD="1"/>
</file>

<file path=xl/ctrlProps/ctrlProp1243.xml><?xml version="1.0" encoding="utf-8"?>
<formControlPr xmlns="http://schemas.microsoft.com/office/spreadsheetml/2009/9/main" objectType="CheckBox" fmlaLink="Task_Data!$K$42" lockText="1" noThreeD="1"/>
</file>

<file path=xl/ctrlProps/ctrlProp1244.xml><?xml version="1.0" encoding="utf-8"?>
<formControlPr xmlns="http://schemas.microsoft.com/office/spreadsheetml/2009/9/main" objectType="CheckBox" fmlaLink="Task_Data!$L$42" lockText="1" noThreeD="1"/>
</file>

<file path=xl/ctrlProps/ctrlProp1245.xml><?xml version="1.0" encoding="utf-8"?>
<formControlPr xmlns="http://schemas.microsoft.com/office/spreadsheetml/2009/9/main" objectType="CheckBox" fmlaLink="Task_Data!$M$42" lockText="1" noThreeD="1"/>
</file>

<file path=xl/ctrlProps/ctrlProp1246.xml><?xml version="1.0" encoding="utf-8"?>
<formControlPr xmlns="http://schemas.microsoft.com/office/spreadsheetml/2009/9/main" objectType="CheckBox" fmlaLink="Task_Data!$N$42" lockText="1" noThreeD="1"/>
</file>

<file path=xl/ctrlProps/ctrlProp1247.xml><?xml version="1.0" encoding="utf-8"?>
<formControlPr xmlns="http://schemas.microsoft.com/office/spreadsheetml/2009/9/main" objectType="CheckBox" fmlaLink="Task_Data!$O$42" lockText="1" noThreeD="1"/>
</file>

<file path=xl/ctrlProps/ctrlProp1248.xml><?xml version="1.0" encoding="utf-8"?>
<formControlPr xmlns="http://schemas.microsoft.com/office/spreadsheetml/2009/9/main" objectType="CheckBox" fmlaLink="Task_Data!$P$42" lockText="1" noThreeD="1"/>
</file>

<file path=xl/ctrlProps/ctrlProp1249.xml><?xml version="1.0" encoding="utf-8"?>
<formControlPr xmlns="http://schemas.microsoft.com/office/spreadsheetml/2009/9/main" objectType="CheckBox" fmlaLink="Task_Data!$Q$42" lockText="1" noThreeD="1"/>
</file>

<file path=xl/ctrlProps/ctrlProp1250.xml><?xml version="1.0" encoding="utf-8"?>
<formControlPr xmlns="http://schemas.microsoft.com/office/spreadsheetml/2009/9/main" objectType="CheckBox" fmlaLink="Task_Data!$R$42" lockText="1" noThreeD="1"/>
</file>

<file path=xl/ctrlProps/ctrlProp1251.xml><?xml version="1.0" encoding="utf-8"?>
<formControlPr xmlns="http://schemas.microsoft.com/office/spreadsheetml/2009/9/main" objectType="CheckBox" fmlaLink="Task_Data!$S$42" lockText="1" noThreeD="1"/>
</file>

<file path=xl/ctrlProps/ctrlProp1252.xml><?xml version="1.0" encoding="utf-8"?>
<formControlPr xmlns="http://schemas.microsoft.com/office/spreadsheetml/2009/9/main" objectType="CheckBox" fmlaLink="Task_Data!$T$42" lockText="1" noThreeD="1"/>
</file>

<file path=xl/ctrlProps/ctrlProp1253.xml><?xml version="1.0" encoding="utf-8"?>
<formControlPr xmlns="http://schemas.microsoft.com/office/spreadsheetml/2009/9/main" objectType="CheckBox" fmlaLink="Task_Data!$U$42" lockText="1" noThreeD="1"/>
</file>

<file path=xl/ctrlProps/ctrlProp1254.xml><?xml version="1.0" encoding="utf-8"?>
<formControlPr xmlns="http://schemas.microsoft.com/office/spreadsheetml/2009/9/main" objectType="CheckBox" fmlaLink="Task_Data!$V$42" lockText="1" noThreeD="1"/>
</file>

<file path=xl/ctrlProps/ctrlProp1255.xml><?xml version="1.0" encoding="utf-8"?>
<formControlPr xmlns="http://schemas.microsoft.com/office/spreadsheetml/2009/9/main" objectType="CheckBox" fmlaLink="Task_Data!$W$42" lockText="1" noThreeD="1"/>
</file>

<file path=xl/ctrlProps/ctrlProp1256.xml><?xml version="1.0" encoding="utf-8"?>
<formControlPr xmlns="http://schemas.microsoft.com/office/spreadsheetml/2009/9/main" objectType="CheckBox" fmlaLink="Task_Data!$X$42" lockText="1" noThreeD="1"/>
</file>

<file path=xl/ctrlProps/ctrlProp1257.xml><?xml version="1.0" encoding="utf-8"?>
<formControlPr xmlns="http://schemas.microsoft.com/office/spreadsheetml/2009/9/main" objectType="CheckBox" fmlaLink="Task_Data!$Y$42" lockText="1" noThreeD="1"/>
</file>

<file path=xl/ctrlProps/ctrlProp1258.xml><?xml version="1.0" encoding="utf-8"?>
<formControlPr xmlns="http://schemas.microsoft.com/office/spreadsheetml/2009/9/main" objectType="CheckBox" fmlaLink="Task_Data!$Z$42" lockText="1" noThreeD="1"/>
</file>

<file path=xl/ctrlProps/ctrlProp1259.xml><?xml version="1.0" encoding="utf-8"?>
<formControlPr xmlns="http://schemas.microsoft.com/office/spreadsheetml/2009/9/main" objectType="CheckBox" fmlaLink="Task_Data!$AA$42" lockText="1" noThreeD="1"/>
</file>

<file path=xl/ctrlProps/ctrlProp1260.xml><?xml version="1.0" encoding="utf-8"?>
<formControlPr xmlns="http://schemas.microsoft.com/office/spreadsheetml/2009/9/main" objectType="CheckBox" fmlaLink="Task_Data!$AB$42" lockText="1" noThreeD="1"/>
</file>

<file path=xl/ctrlProps/ctrlProp1261.xml><?xml version="1.0" encoding="utf-8"?>
<formControlPr xmlns="http://schemas.microsoft.com/office/spreadsheetml/2009/9/main" objectType="CheckBox" fmlaLink="Task_Data!$AC$42" lockText="1" noThreeD="1"/>
</file>

<file path=xl/ctrlProps/ctrlProp1262.xml><?xml version="1.0" encoding="utf-8"?>
<formControlPr xmlns="http://schemas.microsoft.com/office/spreadsheetml/2009/9/main" objectType="CheckBox" fmlaLink="Task_Data!$AD$42" lockText="1" noThreeD="1"/>
</file>

<file path=xl/ctrlProps/ctrlProp1263.xml><?xml version="1.0" encoding="utf-8"?>
<formControlPr xmlns="http://schemas.microsoft.com/office/spreadsheetml/2009/9/main" objectType="CheckBox" fmlaLink="Task_Data!$AE$42" lockText="1" noThreeD="1"/>
</file>

<file path=xl/ctrlProps/ctrlProp1264.xml><?xml version="1.0" encoding="utf-8"?>
<formControlPr xmlns="http://schemas.microsoft.com/office/spreadsheetml/2009/9/main" objectType="CheckBox" fmlaLink="Task_Data!$AF$42" lockText="1" noThreeD="1"/>
</file>

<file path=xl/ctrlProps/ctrlProp1265.xml><?xml version="1.0" encoding="utf-8"?>
<formControlPr xmlns="http://schemas.microsoft.com/office/spreadsheetml/2009/9/main" objectType="CheckBox" fmlaLink="Task_Data!$AG$42" lockText="1" noThreeD="1"/>
</file>

<file path=xl/ctrlProps/ctrlProp1266.xml><?xml version="1.0" encoding="utf-8"?>
<formControlPr xmlns="http://schemas.microsoft.com/office/spreadsheetml/2009/9/main" objectType="CheckBox" fmlaLink="Task_Data!$AH$42" lockText="1" noThreeD="1"/>
</file>

<file path=xl/ctrlProps/ctrlProp1267.xml><?xml version="1.0" encoding="utf-8"?>
<formControlPr xmlns="http://schemas.microsoft.com/office/spreadsheetml/2009/9/main" objectType="CheckBox" fmlaLink="Task_Data!$AI$42" lockText="1" noThreeD="1"/>
</file>

<file path=xl/ctrlProps/ctrlProp1268.xml><?xml version="1.0" encoding="utf-8"?>
<formControlPr xmlns="http://schemas.microsoft.com/office/spreadsheetml/2009/9/main" objectType="CheckBox" fmlaLink="Task_Data!$AJ$42" lockText="1" noThreeD="1"/>
</file>

<file path=xl/ctrlProps/ctrlProp1269.xml><?xml version="1.0" encoding="utf-8"?>
<formControlPr xmlns="http://schemas.microsoft.com/office/spreadsheetml/2009/9/main" objectType="CheckBox" fmlaLink="Task_Data!$AK$42" lockText="1" noThreeD="1"/>
</file>

<file path=xl/ctrlProps/ctrlProp1270.xml><?xml version="1.0" encoding="utf-8"?>
<formControlPr xmlns="http://schemas.microsoft.com/office/spreadsheetml/2009/9/main" objectType="CheckBox" fmlaLink="Task_Data!$AL$42" lockText="1" noThreeD="1"/>
</file>

<file path=xl/ctrlProps/ctrlProp1271.xml><?xml version="1.0" encoding="utf-8"?>
<formControlPr xmlns="http://schemas.microsoft.com/office/spreadsheetml/2009/9/main" objectType="CheckBox" fmlaLink="Task_Data!$H$43" lockText="1" noThreeD="1"/>
</file>

<file path=xl/ctrlProps/ctrlProp1272.xml><?xml version="1.0" encoding="utf-8"?>
<formControlPr xmlns="http://schemas.microsoft.com/office/spreadsheetml/2009/9/main" objectType="CheckBox" fmlaLink="Task_Data!$I$43" lockText="1" noThreeD="1"/>
</file>

<file path=xl/ctrlProps/ctrlProp1273.xml><?xml version="1.0" encoding="utf-8"?>
<formControlPr xmlns="http://schemas.microsoft.com/office/spreadsheetml/2009/9/main" objectType="CheckBox" fmlaLink="Task_Data!$J$43" lockText="1" noThreeD="1"/>
</file>

<file path=xl/ctrlProps/ctrlProp1274.xml><?xml version="1.0" encoding="utf-8"?>
<formControlPr xmlns="http://schemas.microsoft.com/office/spreadsheetml/2009/9/main" objectType="CheckBox" fmlaLink="Task_Data!$K$43" lockText="1" noThreeD="1"/>
</file>

<file path=xl/ctrlProps/ctrlProp1275.xml><?xml version="1.0" encoding="utf-8"?>
<formControlPr xmlns="http://schemas.microsoft.com/office/spreadsheetml/2009/9/main" objectType="CheckBox" fmlaLink="Task_Data!$L$43" lockText="1" noThreeD="1"/>
</file>

<file path=xl/ctrlProps/ctrlProp1276.xml><?xml version="1.0" encoding="utf-8"?>
<formControlPr xmlns="http://schemas.microsoft.com/office/spreadsheetml/2009/9/main" objectType="CheckBox" fmlaLink="Task_Data!$M$43" lockText="1" noThreeD="1"/>
</file>

<file path=xl/ctrlProps/ctrlProp1277.xml><?xml version="1.0" encoding="utf-8"?>
<formControlPr xmlns="http://schemas.microsoft.com/office/spreadsheetml/2009/9/main" objectType="CheckBox" fmlaLink="Task_Data!$N$43" lockText="1" noThreeD="1"/>
</file>

<file path=xl/ctrlProps/ctrlProp1278.xml><?xml version="1.0" encoding="utf-8"?>
<formControlPr xmlns="http://schemas.microsoft.com/office/spreadsheetml/2009/9/main" objectType="CheckBox" fmlaLink="Task_Data!$O$43" lockText="1" noThreeD="1"/>
</file>

<file path=xl/ctrlProps/ctrlProp1279.xml><?xml version="1.0" encoding="utf-8"?>
<formControlPr xmlns="http://schemas.microsoft.com/office/spreadsheetml/2009/9/main" objectType="CheckBox" fmlaLink="Task_Data!$P$43" lockText="1" noThreeD="1"/>
</file>

<file path=xl/ctrlProps/ctrlProp1280.xml><?xml version="1.0" encoding="utf-8"?>
<formControlPr xmlns="http://schemas.microsoft.com/office/spreadsheetml/2009/9/main" objectType="CheckBox" fmlaLink="Task_Data!$Q$43" lockText="1" noThreeD="1"/>
</file>

<file path=xl/ctrlProps/ctrlProp1281.xml><?xml version="1.0" encoding="utf-8"?>
<formControlPr xmlns="http://schemas.microsoft.com/office/spreadsheetml/2009/9/main" objectType="CheckBox" fmlaLink="Task_Data!$R$43" lockText="1" noThreeD="1"/>
</file>

<file path=xl/ctrlProps/ctrlProp1282.xml><?xml version="1.0" encoding="utf-8"?>
<formControlPr xmlns="http://schemas.microsoft.com/office/spreadsheetml/2009/9/main" objectType="CheckBox" fmlaLink="Task_Data!$S$43" lockText="1" noThreeD="1"/>
</file>

<file path=xl/ctrlProps/ctrlProp1283.xml><?xml version="1.0" encoding="utf-8"?>
<formControlPr xmlns="http://schemas.microsoft.com/office/spreadsheetml/2009/9/main" objectType="CheckBox" fmlaLink="Task_Data!$T$43" lockText="1" noThreeD="1"/>
</file>

<file path=xl/ctrlProps/ctrlProp1284.xml><?xml version="1.0" encoding="utf-8"?>
<formControlPr xmlns="http://schemas.microsoft.com/office/spreadsheetml/2009/9/main" objectType="CheckBox" fmlaLink="Task_Data!$U$43" lockText="1" noThreeD="1"/>
</file>

<file path=xl/ctrlProps/ctrlProp1285.xml><?xml version="1.0" encoding="utf-8"?>
<formControlPr xmlns="http://schemas.microsoft.com/office/spreadsheetml/2009/9/main" objectType="CheckBox" fmlaLink="Task_Data!$V$43" lockText="1" noThreeD="1"/>
</file>

<file path=xl/ctrlProps/ctrlProp1286.xml><?xml version="1.0" encoding="utf-8"?>
<formControlPr xmlns="http://schemas.microsoft.com/office/spreadsheetml/2009/9/main" objectType="CheckBox" fmlaLink="Task_Data!$W$43" lockText="1" noThreeD="1"/>
</file>

<file path=xl/ctrlProps/ctrlProp1287.xml><?xml version="1.0" encoding="utf-8"?>
<formControlPr xmlns="http://schemas.microsoft.com/office/spreadsheetml/2009/9/main" objectType="CheckBox" fmlaLink="Task_Data!$X$43" lockText="1" noThreeD="1"/>
</file>

<file path=xl/ctrlProps/ctrlProp1288.xml><?xml version="1.0" encoding="utf-8"?>
<formControlPr xmlns="http://schemas.microsoft.com/office/spreadsheetml/2009/9/main" objectType="CheckBox" fmlaLink="Task_Data!$Y$43" lockText="1" noThreeD="1"/>
</file>

<file path=xl/ctrlProps/ctrlProp1289.xml><?xml version="1.0" encoding="utf-8"?>
<formControlPr xmlns="http://schemas.microsoft.com/office/spreadsheetml/2009/9/main" objectType="CheckBox" fmlaLink="Task_Data!$Z$43" lockText="1" noThreeD="1"/>
</file>

<file path=xl/ctrlProps/ctrlProp1290.xml><?xml version="1.0" encoding="utf-8"?>
<formControlPr xmlns="http://schemas.microsoft.com/office/spreadsheetml/2009/9/main" objectType="CheckBox" fmlaLink="Task_Data!$AA$43" lockText="1" noThreeD="1"/>
</file>

<file path=xl/ctrlProps/ctrlProp1291.xml><?xml version="1.0" encoding="utf-8"?>
<formControlPr xmlns="http://schemas.microsoft.com/office/spreadsheetml/2009/9/main" objectType="CheckBox" fmlaLink="Task_Data!$AB$43" lockText="1" noThreeD="1"/>
</file>

<file path=xl/ctrlProps/ctrlProp1292.xml><?xml version="1.0" encoding="utf-8"?>
<formControlPr xmlns="http://schemas.microsoft.com/office/spreadsheetml/2009/9/main" objectType="CheckBox" fmlaLink="Task_Data!$AC$43" lockText="1" noThreeD="1"/>
</file>

<file path=xl/ctrlProps/ctrlProp1293.xml><?xml version="1.0" encoding="utf-8"?>
<formControlPr xmlns="http://schemas.microsoft.com/office/spreadsheetml/2009/9/main" objectType="CheckBox" fmlaLink="Task_Data!$AD$43" lockText="1" noThreeD="1"/>
</file>

<file path=xl/ctrlProps/ctrlProp1294.xml><?xml version="1.0" encoding="utf-8"?>
<formControlPr xmlns="http://schemas.microsoft.com/office/spreadsheetml/2009/9/main" objectType="CheckBox" fmlaLink="Task_Data!$AE$43" lockText="1" noThreeD="1"/>
</file>

<file path=xl/ctrlProps/ctrlProp1295.xml><?xml version="1.0" encoding="utf-8"?>
<formControlPr xmlns="http://schemas.microsoft.com/office/spreadsheetml/2009/9/main" objectType="CheckBox" fmlaLink="Task_Data!$AF$43" lockText="1" noThreeD="1"/>
</file>

<file path=xl/ctrlProps/ctrlProp1296.xml><?xml version="1.0" encoding="utf-8"?>
<formControlPr xmlns="http://schemas.microsoft.com/office/spreadsheetml/2009/9/main" objectType="CheckBox" fmlaLink="Task_Data!$AG$43" lockText="1" noThreeD="1"/>
</file>

<file path=xl/ctrlProps/ctrlProp1297.xml><?xml version="1.0" encoding="utf-8"?>
<formControlPr xmlns="http://schemas.microsoft.com/office/spreadsheetml/2009/9/main" objectType="CheckBox" fmlaLink="Task_Data!$AH$43" lockText="1" noThreeD="1"/>
</file>

<file path=xl/ctrlProps/ctrlProp1298.xml><?xml version="1.0" encoding="utf-8"?>
<formControlPr xmlns="http://schemas.microsoft.com/office/spreadsheetml/2009/9/main" objectType="CheckBox" fmlaLink="Task_Data!$AI$43" lockText="1" noThreeD="1"/>
</file>

<file path=xl/ctrlProps/ctrlProp1299.xml><?xml version="1.0" encoding="utf-8"?>
<formControlPr xmlns="http://schemas.microsoft.com/office/spreadsheetml/2009/9/main" objectType="CheckBox" fmlaLink="Task_Data!$AJ$43" lockText="1" noThreeD="1"/>
</file>

<file path=xl/ctrlProps/ctrlProp1300.xml><?xml version="1.0" encoding="utf-8"?>
<formControlPr xmlns="http://schemas.microsoft.com/office/spreadsheetml/2009/9/main" objectType="CheckBox" fmlaLink="Task_Data!$AK$43" lockText="1" noThreeD="1"/>
</file>

<file path=xl/ctrlProps/ctrlProp1301.xml><?xml version="1.0" encoding="utf-8"?>
<formControlPr xmlns="http://schemas.microsoft.com/office/spreadsheetml/2009/9/main" objectType="CheckBox" fmlaLink="Task_Data!$AL$43" lockText="1" noThreeD="1"/>
</file>

<file path=xl/ctrlProps/ctrlProp1302.xml><?xml version="1.0" encoding="utf-8"?>
<formControlPr xmlns="http://schemas.microsoft.com/office/spreadsheetml/2009/9/main" objectType="CheckBox" fmlaLink="Task_Data!$H$44" lockText="1" noThreeD="1"/>
</file>

<file path=xl/ctrlProps/ctrlProp1303.xml><?xml version="1.0" encoding="utf-8"?>
<formControlPr xmlns="http://schemas.microsoft.com/office/spreadsheetml/2009/9/main" objectType="CheckBox" fmlaLink="Task_Data!$I$44" lockText="1" noThreeD="1"/>
</file>

<file path=xl/ctrlProps/ctrlProp1304.xml><?xml version="1.0" encoding="utf-8"?>
<formControlPr xmlns="http://schemas.microsoft.com/office/spreadsheetml/2009/9/main" objectType="CheckBox" fmlaLink="Task_Data!$J$44" lockText="1" noThreeD="1"/>
</file>

<file path=xl/ctrlProps/ctrlProp1305.xml><?xml version="1.0" encoding="utf-8"?>
<formControlPr xmlns="http://schemas.microsoft.com/office/spreadsheetml/2009/9/main" objectType="CheckBox" fmlaLink="Task_Data!$K$44" lockText="1" noThreeD="1"/>
</file>

<file path=xl/ctrlProps/ctrlProp1306.xml><?xml version="1.0" encoding="utf-8"?>
<formControlPr xmlns="http://schemas.microsoft.com/office/spreadsheetml/2009/9/main" objectType="CheckBox" fmlaLink="Task_Data!$L$44" lockText="1" noThreeD="1"/>
</file>

<file path=xl/ctrlProps/ctrlProp1307.xml><?xml version="1.0" encoding="utf-8"?>
<formControlPr xmlns="http://schemas.microsoft.com/office/spreadsheetml/2009/9/main" objectType="CheckBox" fmlaLink="Task_Data!$M$44" lockText="1" noThreeD="1"/>
</file>

<file path=xl/ctrlProps/ctrlProp1308.xml><?xml version="1.0" encoding="utf-8"?>
<formControlPr xmlns="http://schemas.microsoft.com/office/spreadsheetml/2009/9/main" objectType="CheckBox" fmlaLink="Task_Data!$N$44" lockText="1" noThreeD="1"/>
</file>

<file path=xl/ctrlProps/ctrlProp1309.xml><?xml version="1.0" encoding="utf-8"?>
<formControlPr xmlns="http://schemas.microsoft.com/office/spreadsheetml/2009/9/main" objectType="CheckBox" fmlaLink="Task_Data!$O$44" lockText="1" noThreeD="1"/>
</file>

<file path=xl/ctrlProps/ctrlProp1310.xml><?xml version="1.0" encoding="utf-8"?>
<formControlPr xmlns="http://schemas.microsoft.com/office/spreadsheetml/2009/9/main" objectType="CheckBox" fmlaLink="Task_Data!$P$44" lockText="1" noThreeD="1"/>
</file>

<file path=xl/ctrlProps/ctrlProp1311.xml><?xml version="1.0" encoding="utf-8"?>
<formControlPr xmlns="http://schemas.microsoft.com/office/spreadsheetml/2009/9/main" objectType="CheckBox" fmlaLink="Task_Data!$Q$44" lockText="1" noThreeD="1"/>
</file>

<file path=xl/ctrlProps/ctrlProp1312.xml><?xml version="1.0" encoding="utf-8"?>
<formControlPr xmlns="http://schemas.microsoft.com/office/spreadsheetml/2009/9/main" objectType="CheckBox" fmlaLink="Task_Data!$R$44" lockText="1" noThreeD="1"/>
</file>

<file path=xl/ctrlProps/ctrlProp1313.xml><?xml version="1.0" encoding="utf-8"?>
<formControlPr xmlns="http://schemas.microsoft.com/office/spreadsheetml/2009/9/main" objectType="CheckBox" fmlaLink="Task_Data!$S$44" lockText="1" noThreeD="1"/>
</file>

<file path=xl/ctrlProps/ctrlProp1314.xml><?xml version="1.0" encoding="utf-8"?>
<formControlPr xmlns="http://schemas.microsoft.com/office/spreadsheetml/2009/9/main" objectType="CheckBox" fmlaLink="Task_Data!$T$44" lockText="1" noThreeD="1"/>
</file>

<file path=xl/ctrlProps/ctrlProp1315.xml><?xml version="1.0" encoding="utf-8"?>
<formControlPr xmlns="http://schemas.microsoft.com/office/spreadsheetml/2009/9/main" objectType="CheckBox" fmlaLink="Task_Data!$U$44" lockText="1" noThreeD="1"/>
</file>

<file path=xl/ctrlProps/ctrlProp1316.xml><?xml version="1.0" encoding="utf-8"?>
<formControlPr xmlns="http://schemas.microsoft.com/office/spreadsheetml/2009/9/main" objectType="CheckBox" fmlaLink="Task_Data!$V$44" lockText="1" noThreeD="1"/>
</file>

<file path=xl/ctrlProps/ctrlProp1317.xml><?xml version="1.0" encoding="utf-8"?>
<formControlPr xmlns="http://schemas.microsoft.com/office/spreadsheetml/2009/9/main" objectType="CheckBox" fmlaLink="Task_Data!$W$44" lockText="1" noThreeD="1"/>
</file>

<file path=xl/ctrlProps/ctrlProp1318.xml><?xml version="1.0" encoding="utf-8"?>
<formControlPr xmlns="http://schemas.microsoft.com/office/spreadsheetml/2009/9/main" objectType="CheckBox" fmlaLink="Task_Data!$X$44" lockText="1" noThreeD="1"/>
</file>

<file path=xl/ctrlProps/ctrlProp1319.xml><?xml version="1.0" encoding="utf-8"?>
<formControlPr xmlns="http://schemas.microsoft.com/office/spreadsheetml/2009/9/main" objectType="CheckBox" fmlaLink="Task_Data!$Y$44" lockText="1" noThreeD="1"/>
</file>

<file path=xl/ctrlProps/ctrlProp1320.xml><?xml version="1.0" encoding="utf-8"?>
<formControlPr xmlns="http://schemas.microsoft.com/office/spreadsheetml/2009/9/main" objectType="CheckBox" fmlaLink="Task_Data!$Z$44" lockText="1" noThreeD="1"/>
</file>

<file path=xl/ctrlProps/ctrlProp1321.xml><?xml version="1.0" encoding="utf-8"?>
<formControlPr xmlns="http://schemas.microsoft.com/office/spreadsheetml/2009/9/main" objectType="CheckBox" fmlaLink="Task_Data!$AA$44" lockText="1" noThreeD="1"/>
</file>

<file path=xl/ctrlProps/ctrlProp1322.xml><?xml version="1.0" encoding="utf-8"?>
<formControlPr xmlns="http://schemas.microsoft.com/office/spreadsheetml/2009/9/main" objectType="CheckBox" fmlaLink="Task_Data!$AB$44" lockText="1" noThreeD="1"/>
</file>

<file path=xl/ctrlProps/ctrlProp1323.xml><?xml version="1.0" encoding="utf-8"?>
<formControlPr xmlns="http://schemas.microsoft.com/office/spreadsheetml/2009/9/main" objectType="CheckBox" fmlaLink="Task_Data!$AC$44" lockText="1" noThreeD="1"/>
</file>

<file path=xl/ctrlProps/ctrlProp1324.xml><?xml version="1.0" encoding="utf-8"?>
<formControlPr xmlns="http://schemas.microsoft.com/office/spreadsheetml/2009/9/main" objectType="CheckBox" fmlaLink="Task_Data!$AD$44" lockText="1" noThreeD="1"/>
</file>

<file path=xl/ctrlProps/ctrlProp1325.xml><?xml version="1.0" encoding="utf-8"?>
<formControlPr xmlns="http://schemas.microsoft.com/office/spreadsheetml/2009/9/main" objectType="CheckBox" fmlaLink="Task_Data!$AE$44" lockText="1" noThreeD="1"/>
</file>

<file path=xl/ctrlProps/ctrlProp1326.xml><?xml version="1.0" encoding="utf-8"?>
<formControlPr xmlns="http://schemas.microsoft.com/office/spreadsheetml/2009/9/main" objectType="CheckBox" fmlaLink="Task_Data!$AF$44" lockText="1" noThreeD="1"/>
</file>

<file path=xl/ctrlProps/ctrlProp1327.xml><?xml version="1.0" encoding="utf-8"?>
<formControlPr xmlns="http://schemas.microsoft.com/office/spreadsheetml/2009/9/main" objectType="CheckBox" fmlaLink="Task_Data!$AG$44" lockText="1" noThreeD="1"/>
</file>

<file path=xl/ctrlProps/ctrlProp1328.xml><?xml version="1.0" encoding="utf-8"?>
<formControlPr xmlns="http://schemas.microsoft.com/office/spreadsheetml/2009/9/main" objectType="CheckBox" fmlaLink="Task_Data!$AH$44" lockText="1" noThreeD="1"/>
</file>

<file path=xl/ctrlProps/ctrlProp1329.xml><?xml version="1.0" encoding="utf-8"?>
<formControlPr xmlns="http://schemas.microsoft.com/office/spreadsheetml/2009/9/main" objectType="CheckBox" fmlaLink="Task_Data!$AI$44" lockText="1" noThreeD="1"/>
</file>

<file path=xl/ctrlProps/ctrlProp1330.xml><?xml version="1.0" encoding="utf-8"?>
<formControlPr xmlns="http://schemas.microsoft.com/office/spreadsheetml/2009/9/main" objectType="CheckBox" fmlaLink="Task_Data!$AJ$44" lockText="1" noThreeD="1"/>
</file>

<file path=xl/ctrlProps/ctrlProp1331.xml><?xml version="1.0" encoding="utf-8"?>
<formControlPr xmlns="http://schemas.microsoft.com/office/spreadsheetml/2009/9/main" objectType="CheckBox" fmlaLink="Task_Data!$AK$44" lockText="1" noThreeD="1"/>
</file>

<file path=xl/ctrlProps/ctrlProp1332.xml><?xml version="1.0" encoding="utf-8"?>
<formControlPr xmlns="http://schemas.microsoft.com/office/spreadsheetml/2009/9/main" objectType="CheckBox" fmlaLink="Task_Data!$AL$44" lockText="1" noThreeD="1"/>
</file>

<file path=xl/ctrlProps/ctrlProp1333.xml><?xml version="1.0" encoding="utf-8"?>
<formControlPr xmlns="http://schemas.microsoft.com/office/spreadsheetml/2009/9/main" objectType="CheckBox" fmlaLink="Task_Data!$H$45" lockText="1" noThreeD="1"/>
</file>

<file path=xl/ctrlProps/ctrlProp1334.xml><?xml version="1.0" encoding="utf-8"?>
<formControlPr xmlns="http://schemas.microsoft.com/office/spreadsheetml/2009/9/main" objectType="CheckBox" fmlaLink="Task_Data!$I$45" lockText="1" noThreeD="1"/>
</file>

<file path=xl/ctrlProps/ctrlProp1335.xml><?xml version="1.0" encoding="utf-8"?>
<formControlPr xmlns="http://schemas.microsoft.com/office/spreadsheetml/2009/9/main" objectType="CheckBox" fmlaLink="Task_Data!$J$45" lockText="1" noThreeD="1"/>
</file>

<file path=xl/ctrlProps/ctrlProp1336.xml><?xml version="1.0" encoding="utf-8"?>
<formControlPr xmlns="http://schemas.microsoft.com/office/spreadsheetml/2009/9/main" objectType="CheckBox" fmlaLink="Task_Data!$K$45" lockText="1" noThreeD="1"/>
</file>

<file path=xl/ctrlProps/ctrlProp1337.xml><?xml version="1.0" encoding="utf-8"?>
<formControlPr xmlns="http://schemas.microsoft.com/office/spreadsheetml/2009/9/main" objectType="CheckBox" fmlaLink="Task_Data!$L$45" lockText="1" noThreeD="1"/>
</file>

<file path=xl/ctrlProps/ctrlProp1338.xml><?xml version="1.0" encoding="utf-8"?>
<formControlPr xmlns="http://schemas.microsoft.com/office/spreadsheetml/2009/9/main" objectType="CheckBox" fmlaLink="Task_Data!$M$45" lockText="1" noThreeD="1"/>
</file>

<file path=xl/ctrlProps/ctrlProp1339.xml><?xml version="1.0" encoding="utf-8"?>
<formControlPr xmlns="http://schemas.microsoft.com/office/spreadsheetml/2009/9/main" objectType="CheckBox" fmlaLink="Task_Data!$N$45" lockText="1" noThreeD="1"/>
</file>

<file path=xl/ctrlProps/ctrlProp1340.xml><?xml version="1.0" encoding="utf-8"?>
<formControlPr xmlns="http://schemas.microsoft.com/office/spreadsheetml/2009/9/main" objectType="CheckBox" fmlaLink="Task_Data!$O$45" lockText="1" noThreeD="1"/>
</file>

<file path=xl/ctrlProps/ctrlProp1341.xml><?xml version="1.0" encoding="utf-8"?>
<formControlPr xmlns="http://schemas.microsoft.com/office/spreadsheetml/2009/9/main" objectType="CheckBox" fmlaLink="Task_Data!$P$45" lockText="1" noThreeD="1"/>
</file>

<file path=xl/ctrlProps/ctrlProp1342.xml><?xml version="1.0" encoding="utf-8"?>
<formControlPr xmlns="http://schemas.microsoft.com/office/spreadsheetml/2009/9/main" objectType="CheckBox" fmlaLink="Task_Data!$Q$45" lockText="1" noThreeD="1"/>
</file>

<file path=xl/ctrlProps/ctrlProp1343.xml><?xml version="1.0" encoding="utf-8"?>
<formControlPr xmlns="http://schemas.microsoft.com/office/spreadsheetml/2009/9/main" objectType="CheckBox" fmlaLink="Task_Data!$R$45" lockText="1" noThreeD="1"/>
</file>

<file path=xl/ctrlProps/ctrlProp1344.xml><?xml version="1.0" encoding="utf-8"?>
<formControlPr xmlns="http://schemas.microsoft.com/office/spreadsheetml/2009/9/main" objectType="CheckBox" fmlaLink="Task_Data!$S$45" lockText="1" noThreeD="1"/>
</file>

<file path=xl/ctrlProps/ctrlProp1345.xml><?xml version="1.0" encoding="utf-8"?>
<formControlPr xmlns="http://schemas.microsoft.com/office/spreadsheetml/2009/9/main" objectType="CheckBox" fmlaLink="Task_Data!$T$45" lockText="1" noThreeD="1"/>
</file>

<file path=xl/ctrlProps/ctrlProp1346.xml><?xml version="1.0" encoding="utf-8"?>
<formControlPr xmlns="http://schemas.microsoft.com/office/spreadsheetml/2009/9/main" objectType="CheckBox" fmlaLink="Task_Data!$U$45" lockText="1" noThreeD="1"/>
</file>

<file path=xl/ctrlProps/ctrlProp1347.xml><?xml version="1.0" encoding="utf-8"?>
<formControlPr xmlns="http://schemas.microsoft.com/office/spreadsheetml/2009/9/main" objectType="CheckBox" fmlaLink="Task_Data!$V$45" lockText="1" noThreeD="1"/>
</file>

<file path=xl/ctrlProps/ctrlProp1348.xml><?xml version="1.0" encoding="utf-8"?>
<formControlPr xmlns="http://schemas.microsoft.com/office/spreadsheetml/2009/9/main" objectType="CheckBox" fmlaLink="Task_Data!$W$45" lockText="1" noThreeD="1"/>
</file>

<file path=xl/ctrlProps/ctrlProp1349.xml><?xml version="1.0" encoding="utf-8"?>
<formControlPr xmlns="http://schemas.microsoft.com/office/spreadsheetml/2009/9/main" objectType="CheckBox" fmlaLink="Task_Data!$X$45" lockText="1" noThreeD="1"/>
</file>

<file path=xl/ctrlProps/ctrlProp1350.xml><?xml version="1.0" encoding="utf-8"?>
<formControlPr xmlns="http://schemas.microsoft.com/office/spreadsheetml/2009/9/main" objectType="CheckBox" fmlaLink="Task_Data!$Y$45" lockText="1" noThreeD="1"/>
</file>

<file path=xl/ctrlProps/ctrlProp1351.xml><?xml version="1.0" encoding="utf-8"?>
<formControlPr xmlns="http://schemas.microsoft.com/office/spreadsheetml/2009/9/main" objectType="CheckBox" fmlaLink="Task_Data!$Z$45" lockText="1" noThreeD="1"/>
</file>

<file path=xl/ctrlProps/ctrlProp1352.xml><?xml version="1.0" encoding="utf-8"?>
<formControlPr xmlns="http://schemas.microsoft.com/office/spreadsheetml/2009/9/main" objectType="CheckBox" fmlaLink="Task_Data!$AA$45" lockText="1" noThreeD="1"/>
</file>

<file path=xl/ctrlProps/ctrlProp1353.xml><?xml version="1.0" encoding="utf-8"?>
<formControlPr xmlns="http://schemas.microsoft.com/office/spreadsheetml/2009/9/main" objectType="CheckBox" fmlaLink="Task_Data!$AB$45" lockText="1" noThreeD="1"/>
</file>

<file path=xl/ctrlProps/ctrlProp1354.xml><?xml version="1.0" encoding="utf-8"?>
<formControlPr xmlns="http://schemas.microsoft.com/office/spreadsheetml/2009/9/main" objectType="CheckBox" fmlaLink="Task_Data!$AC$45" lockText="1" noThreeD="1"/>
</file>

<file path=xl/ctrlProps/ctrlProp1355.xml><?xml version="1.0" encoding="utf-8"?>
<formControlPr xmlns="http://schemas.microsoft.com/office/spreadsheetml/2009/9/main" objectType="CheckBox" fmlaLink="Task_Data!$AD$45" lockText="1" noThreeD="1"/>
</file>

<file path=xl/ctrlProps/ctrlProp1356.xml><?xml version="1.0" encoding="utf-8"?>
<formControlPr xmlns="http://schemas.microsoft.com/office/spreadsheetml/2009/9/main" objectType="CheckBox" fmlaLink="Task_Data!$AE$45" lockText="1" noThreeD="1"/>
</file>

<file path=xl/ctrlProps/ctrlProp1357.xml><?xml version="1.0" encoding="utf-8"?>
<formControlPr xmlns="http://schemas.microsoft.com/office/spreadsheetml/2009/9/main" objectType="CheckBox" fmlaLink="Task_Data!$AF$45" lockText="1" noThreeD="1"/>
</file>

<file path=xl/ctrlProps/ctrlProp1358.xml><?xml version="1.0" encoding="utf-8"?>
<formControlPr xmlns="http://schemas.microsoft.com/office/spreadsheetml/2009/9/main" objectType="CheckBox" fmlaLink="Task_Data!$AG$45" lockText="1" noThreeD="1"/>
</file>

<file path=xl/ctrlProps/ctrlProp1359.xml><?xml version="1.0" encoding="utf-8"?>
<formControlPr xmlns="http://schemas.microsoft.com/office/spreadsheetml/2009/9/main" objectType="CheckBox" fmlaLink="Task_Data!$AH$45" lockText="1" noThreeD="1"/>
</file>

<file path=xl/ctrlProps/ctrlProp1360.xml><?xml version="1.0" encoding="utf-8"?>
<formControlPr xmlns="http://schemas.microsoft.com/office/spreadsheetml/2009/9/main" objectType="CheckBox" fmlaLink="Task_Data!$AI$45" lockText="1" noThreeD="1"/>
</file>

<file path=xl/ctrlProps/ctrlProp1361.xml><?xml version="1.0" encoding="utf-8"?>
<formControlPr xmlns="http://schemas.microsoft.com/office/spreadsheetml/2009/9/main" objectType="CheckBox" fmlaLink="Task_Data!$AJ$45" lockText="1" noThreeD="1"/>
</file>

<file path=xl/ctrlProps/ctrlProp1362.xml><?xml version="1.0" encoding="utf-8"?>
<formControlPr xmlns="http://schemas.microsoft.com/office/spreadsheetml/2009/9/main" objectType="CheckBox" fmlaLink="Task_Data!$AK$45" lockText="1" noThreeD="1"/>
</file>

<file path=xl/ctrlProps/ctrlProp1363.xml><?xml version="1.0" encoding="utf-8"?>
<formControlPr xmlns="http://schemas.microsoft.com/office/spreadsheetml/2009/9/main" objectType="CheckBox" fmlaLink="Task_Data!$AL$45" lockText="1" noThreeD="1"/>
</file>

<file path=xl/ctrlProps/ctrlProp1364.xml><?xml version="1.0" encoding="utf-8"?>
<formControlPr xmlns="http://schemas.microsoft.com/office/spreadsheetml/2009/9/main" objectType="CheckBox" fmlaLink="Task_Data!$H$46" lockText="1" noThreeD="1"/>
</file>

<file path=xl/ctrlProps/ctrlProp1365.xml><?xml version="1.0" encoding="utf-8"?>
<formControlPr xmlns="http://schemas.microsoft.com/office/spreadsheetml/2009/9/main" objectType="CheckBox" fmlaLink="Task_Data!$I$46" lockText="1" noThreeD="1"/>
</file>

<file path=xl/ctrlProps/ctrlProp1366.xml><?xml version="1.0" encoding="utf-8"?>
<formControlPr xmlns="http://schemas.microsoft.com/office/spreadsheetml/2009/9/main" objectType="CheckBox" fmlaLink="Task_Data!$J$46" lockText="1" noThreeD="1"/>
</file>

<file path=xl/ctrlProps/ctrlProp1367.xml><?xml version="1.0" encoding="utf-8"?>
<formControlPr xmlns="http://schemas.microsoft.com/office/spreadsheetml/2009/9/main" objectType="CheckBox" fmlaLink="Task_Data!$K$46" lockText="1" noThreeD="1"/>
</file>

<file path=xl/ctrlProps/ctrlProp1368.xml><?xml version="1.0" encoding="utf-8"?>
<formControlPr xmlns="http://schemas.microsoft.com/office/spreadsheetml/2009/9/main" objectType="CheckBox" fmlaLink="Task_Data!$L$46" lockText="1" noThreeD="1"/>
</file>

<file path=xl/ctrlProps/ctrlProp1369.xml><?xml version="1.0" encoding="utf-8"?>
<formControlPr xmlns="http://schemas.microsoft.com/office/spreadsheetml/2009/9/main" objectType="CheckBox" fmlaLink="Task_Data!$M$46" lockText="1" noThreeD="1"/>
</file>

<file path=xl/ctrlProps/ctrlProp1370.xml><?xml version="1.0" encoding="utf-8"?>
<formControlPr xmlns="http://schemas.microsoft.com/office/spreadsheetml/2009/9/main" objectType="CheckBox" fmlaLink="Task_Data!$N$46" lockText="1" noThreeD="1"/>
</file>

<file path=xl/ctrlProps/ctrlProp1371.xml><?xml version="1.0" encoding="utf-8"?>
<formControlPr xmlns="http://schemas.microsoft.com/office/spreadsheetml/2009/9/main" objectType="CheckBox" fmlaLink="Task_Data!$O$46" lockText="1" noThreeD="1"/>
</file>

<file path=xl/ctrlProps/ctrlProp1372.xml><?xml version="1.0" encoding="utf-8"?>
<formControlPr xmlns="http://schemas.microsoft.com/office/spreadsheetml/2009/9/main" objectType="CheckBox" fmlaLink="Task_Data!$P$46" lockText="1" noThreeD="1"/>
</file>

<file path=xl/ctrlProps/ctrlProp1373.xml><?xml version="1.0" encoding="utf-8"?>
<formControlPr xmlns="http://schemas.microsoft.com/office/spreadsheetml/2009/9/main" objectType="CheckBox" fmlaLink="Task_Data!$Q$46" lockText="1" noThreeD="1"/>
</file>

<file path=xl/ctrlProps/ctrlProp1374.xml><?xml version="1.0" encoding="utf-8"?>
<formControlPr xmlns="http://schemas.microsoft.com/office/spreadsheetml/2009/9/main" objectType="CheckBox" fmlaLink="Task_Data!$R$46" lockText="1" noThreeD="1"/>
</file>

<file path=xl/ctrlProps/ctrlProp1375.xml><?xml version="1.0" encoding="utf-8"?>
<formControlPr xmlns="http://schemas.microsoft.com/office/spreadsheetml/2009/9/main" objectType="CheckBox" fmlaLink="Task_Data!$S$46" lockText="1" noThreeD="1"/>
</file>

<file path=xl/ctrlProps/ctrlProp1376.xml><?xml version="1.0" encoding="utf-8"?>
<formControlPr xmlns="http://schemas.microsoft.com/office/spreadsheetml/2009/9/main" objectType="CheckBox" fmlaLink="Task_Data!$T$46" lockText="1" noThreeD="1"/>
</file>

<file path=xl/ctrlProps/ctrlProp1377.xml><?xml version="1.0" encoding="utf-8"?>
<formControlPr xmlns="http://schemas.microsoft.com/office/spreadsheetml/2009/9/main" objectType="CheckBox" fmlaLink="Task_Data!$U$46" lockText="1" noThreeD="1"/>
</file>

<file path=xl/ctrlProps/ctrlProp1378.xml><?xml version="1.0" encoding="utf-8"?>
<formControlPr xmlns="http://schemas.microsoft.com/office/spreadsheetml/2009/9/main" objectType="CheckBox" fmlaLink="Task_Data!$V$46" lockText="1" noThreeD="1"/>
</file>

<file path=xl/ctrlProps/ctrlProp1379.xml><?xml version="1.0" encoding="utf-8"?>
<formControlPr xmlns="http://schemas.microsoft.com/office/spreadsheetml/2009/9/main" objectType="CheckBox" fmlaLink="Task_Data!$W$46" lockText="1" noThreeD="1"/>
</file>

<file path=xl/ctrlProps/ctrlProp1380.xml><?xml version="1.0" encoding="utf-8"?>
<formControlPr xmlns="http://schemas.microsoft.com/office/spreadsheetml/2009/9/main" objectType="CheckBox" fmlaLink="Task_Data!$X$46" lockText="1" noThreeD="1"/>
</file>

<file path=xl/ctrlProps/ctrlProp1381.xml><?xml version="1.0" encoding="utf-8"?>
<formControlPr xmlns="http://schemas.microsoft.com/office/spreadsheetml/2009/9/main" objectType="CheckBox" fmlaLink="Task_Data!$Y$46" lockText="1" noThreeD="1"/>
</file>

<file path=xl/ctrlProps/ctrlProp1382.xml><?xml version="1.0" encoding="utf-8"?>
<formControlPr xmlns="http://schemas.microsoft.com/office/spreadsheetml/2009/9/main" objectType="CheckBox" fmlaLink="Task_Data!$Z$46" lockText="1" noThreeD="1"/>
</file>

<file path=xl/ctrlProps/ctrlProp1383.xml><?xml version="1.0" encoding="utf-8"?>
<formControlPr xmlns="http://schemas.microsoft.com/office/spreadsheetml/2009/9/main" objectType="CheckBox" fmlaLink="Task_Data!$AA$46" lockText="1" noThreeD="1"/>
</file>

<file path=xl/ctrlProps/ctrlProp1384.xml><?xml version="1.0" encoding="utf-8"?>
<formControlPr xmlns="http://schemas.microsoft.com/office/spreadsheetml/2009/9/main" objectType="CheckBox" fmlaLink="Task_Data!$AB$46" lockText="1" noThreeD="1"/>
</file>

<file path=xl/ctrlProps/ctrlProp1385.xml><?xml version="1.0" encoding="utf-8"?>
<formControlPr xmlns="http://schemas.microsoft.com/office/spreadsheetml/2009/9/main" objectType="CheckBox" fmlaLink="Task_Data!$AC$46" lockText="1" noThreeD="1"/>
</file>

<file path=xl/ctrlProps/ctrlProp1386.xml><?xml version="1.0" encoding="utf-8"?>
<formControlPr xmlns="http://schemas.microsoft.com/office/spreadsheetml/2009/9/main" objectType="CheckBox" fmlaLink="Task_Data!$AD$46" lockText="1" noThreeD="1"/>
</file>

<file path=xl/ctrlProps/ctrlProp1387.xml><?xml version="1.0" encoding="utf-8"?>
<formControlPr xmlns="http://schemas.microsoft.com/office/spreadsheetml/2009/9/main" objectType="CheckBox" fmlaLink="Task_Data!$AE$46" lockText="1" noThreeD="1"/>
</file>

<file path=xl/ctrlProps/ctrlProp1388.xml><?xml version="1.0" encoding="utf-8"?>
<formControlPr xmlns="http://schemas.microsoft.com/office/spreadsheetml/2009/9/main" objectType="CheckBox" fmlaLink="Task_Data!$AF$46" lockText="1" noThreeD="1"/>
</file>

<file path=xl/ctrlProps/ctrlProp1389.xml><?xml version="1.0" encoding="utf-8"?>
<formControlPr xmlns="http://schemas.microsoft.com/office/spreadsheetml/2009/9/main" objectType="CheckBox" fmlaLink="Task_Data!$AG$46" lockText="1" noThreeD="1"/>
</file>

<file path=xl/ctrlProps/ctrlProp1390.xml><?xml version="1.0" encoding="utf-8"?>
<formControlPr xmlns="http://schemas.microsoft.com/office/spreadsheetml/2009/9/main" objectType="CheckBox" fmlaLink="Task_Data!$AH$46" lockText="1" noThreeD="1"/>
</file>

<file path=xl/ctrlProps/ctrlProp1391.xml><?xml version="1.0" encoding="utf-8"?>
<formControlPr xmlns="http://schemas.microsoft.com/office/spreadsheetml/2009/9/main" objectType="CheckBox" fmlaLink="Task_Data!$AI$46" lockText="1" noThreeD="1"/>
</file>

<file path=xl/ctrlProps/ctrlProp1392.xml><?xml version="1.0" encoding="utf-8"?>
<formControlPr xmlns="http://schemas.microsoft.com/office/spreadsheetml/2009/9/main" objectType="CheckBox" fmlaLink="Task_Data!$AJ$46" lockText="1" noThreeD="1"/>
</file>

<file path=xl/ctrlProps/ctrlProp1393.xml><?xml version="1.0" encoding="utf-8"?>
<formControlPr xmlns="http://schemas.microsoft.com/office/spreadsheetml/2009/9/main" objectType="CheckBox" fmlaLink="Task_Data!$AK$46" lockText="1" noThreeD="1"/>
</file>

<file path=xl/ctrlProps/ctrlProp1394.xml><?xml version="1.0" encoding="utf-8"?>
<formControlPr xmlns="http://schemas.microsoft.com/office/spreadsheetml/2009/9/main" objectType="CheckBox" fmlaLink="Task_Data!$AL$46" lockText="1" noThreeD="1"/>
</file>

<file path=xl/ctrlProps/ctrlProp1395.xml><?xml version="1.0" encoding="utf-8"?>
<formControlPr xmlns="http://schemas.microsoft.com/office/spreadsheetml/2009/9/main" objectType="CheckBox" fmlaLink="Task_Data!$H$47" lockText="1" noThreeD="1"/>
</file>

<file path=xl/ctrlProps/ctrlProp1396.xml><?xml version="1.0" encoding="utf-8"?>
<formControlPr xmlns="http://schemas.microsoft.com/office/spreadsheetml/2009/9/main" objectType="CheckBox" fmlaLink="Task_Data!$I$47" lockText="1" noThreeD="1"/>
</file>

<file path=xl/ctrlProps/ctrlProp1397.xml><?xml version="1.0" encoding="utf-8"?>
<formControlPr xmlns="http://schemas.microsoft.com/office/spreadsheetml/2009/9/main" objectType="CheckBox" fmlaLink="Task_Data!$J$47" lockText="1" noThreeD="1"/>
</file>

<file path=xl/ctrlProps/ctrlProp1398.xml><?xml version="1.0" encoding="utf-8"?>
<formControlPr xmlns="http://schemas.microsoft.com/office/spreadsheetml/2009/9/main" objectType="CheckBox" fmlaLink="Task_Data!$K$47" lockText="1" noThreeD="1"/>
</file>

<file path=xl/ctrlProps/ctrlProp1399.xml><?xml version="1.0" encoding="utf-8"?>
<formControlPr xmlns="http://schemas.microsoft.com/office/spreadsheetml/2009/9/main" objectType="CheckBox" fmlaLink="Task_Data!$L$47" lockText="1" noThreeD="1"/>
</file>

<file path=xl/ctrlProps/ctrlProp1400.xml><?xml version="1.0" encoding="utf-8"?>
<formControlPr xmlns="http://schemas.microsoft.com/office/spreadsheetml/2009/9/main" objectType="CheckBox" fmlaLink="Task_Data!$M$47" lockText="1" noThreeD="1"/>
</file>

<file path=xl/ctrlProps/ctrlProp1401.xml><?xml version="1.0" encoding="utf-8"?>
<formControlPr xmlns="http://schemas.microsoft.com/office/spreadsheetml/2009/9/main" objectType="CheckBox" fmlaLink="Task_Data!$N$47" lockText="1" noThreeD="1"/>
</file>

<file path=xl/ctrlProps/ctrlProp1402.xml><?xml version="1.0" encoding="utf-8"?>
<formControlPr xmlns="http://schemas.microsoft.com/office/spreadsheetml/2009/9/main" objectType="CheckBox" fmlaLink="Task_Data!$O$47" lockText="1" noThreeD="1"/>
</file>

<file path=xl/ctrlProps/ctrlProp1403.xml><?xml version="1.0" encoding="utf-8"?>
<formControlPr xmlns="http://schemas.microsoft.com/office/spreadsheetml/2009/9/main" objectType="CheckBox" fmlaLink="Task_Data!$P$47" lockText="1" noThreeD="1"/>
</file>

<file path=xl/ctrlProps/ctrlProp1404.xml><?xml version="1.0" encoding="utf-8"?>
<formControlPr xmlns="http://schemas.microsoft.com/office/spreadsheetml/2009/9/main" objectType="CheckBox" fmlaLink="Task_Data!$Q$47" lockText="1" noThreeD="1"/>
</file>

<file path=xl/ctrlProps/ctrlProp1405.xml><?xml version="1.0" encoding="utf-8"?>
<formControlPr xmlns="http://schemas.microsoft.com/office/spreadsheetml/2009/9/main" objectType="CheckBox" fmlaLink="Task_Data!$R$47" lockText="1" noThreeD="1"/>
</file>

<file path=xl/ctrlProps/ctrlProp1406.xml><?xml version="1.0" encoding="utf-8"?>
<formControlPr xmlns="http://schemas.microsoft.com/office/spreadsheetml/2009/9/main" objectType="CheckBox" fmlaLink="Task_Data!$S$47" lockText="1" noThreeD="1"/>
</file>

<file path=xl/ctrlProps/ctrlProp1407.xml><?xml version="1.0" encoding="utf-8"?>
<formControlPr xmlns="http://schemas.microsoft.com/office/spreadsheetml/2009/9/main" objectType="CheckBox" fmlaLink="Task_Data!$T$47" lockText="1" noThreeD="1"/>
</file>

<file path=xl/ctrlProps/ctrlProp1408.xml><?xml version="1.0" encoding="utf-8"?>
<formControlPr xmlns="http://schemas.microsoft.com/office/spreadsheetml/2009/9/main" objectType="CheckBox" fmlaLink="Task_Data!$U$47" lockText="1" noThreeD="1"/>
</file>

<file path=xl/ctrlProps/ctrlProp1409.xml><?xml version="1.0" encoding="utf-8"?>
<formControlPr xmlns="http://schemas.microsoft.com/office/spreadsheetml/2009/9/main" objectType="CheckBox" fmlaLink="Task_Data!$V$47" lockText="1" noThreeD="1"/>
</file>

<file path=xl/ctrlProps/ctrlProp1410.xml><?xml version="1.0" encoding="utf-8"?>
<formControlPr xmlns="http://schemas.microsoft.com/office/spreadsheetml/2009/9/main" objectType="CheckBox" fmlaLink="Task_Data!$W$47" lockText="1" noThreeD="1"/>
</file>

<file path=xl/ctrlProps/ctrlProp1411.xml><?xml version="1.0" encoding="utf-8"?>
<formControlPr xmlns="http://schemas.microsoft.com/office/spreadsheetml/2009/9/main" objectType="CheckBox" fmlaLink="Task_Data!$X$47" lockText="1" noThreeD="1"/>
</file>

<file path=xl/ctrlProps/ctrlProp1412.xml><?xml version="1.0" encoding="utf-8"?>
<formControlPr xmlns="http://schemas.microsoft.com/office/spreadsheetml/2009/9/main" objectType="CheckBox" fmlaLink="Task_Data!$Y$47" lockText="1" noThreeD="1"/>
</file>

<file path=xl/ctrlProps/ctrlProp1413.xml><?xml version="1.0" encoding="utf-8"?>
<formControlPr xmlns="http://schemas.microsoft.com/office/spreadsheetml/2009/9/main" objectType="CheckBox" fmlaLink="Task_Data!$Z$47" lockText="1" noThreeD="1"/>
</file>

<file path=xl/ctrlProps/ctrlProp1414.xml><?xml version="1.0" encoding="utf-8"?>
<formControlPr xmlns="http://schemas.microsoft.com/office/spreadsheetml/2009/9/main" objectType="CheckBox" fmlaLink="Task_Data!$AA$47" lockText="1" noThreeD="1"/>
</file>

<file path=xl/ctrlProps/ctrlProp1415.xml><?xml version="1.0" encoding="utf-8"?>
<formControlPr xmlns="http://schemas.microsoft.com/office/spreadsheetml/2009/9/main" objectType="CheckBox" fmlaLink="Task_Data!$AB$47" lockText="1" noThreeD="1"/>
</file>

<file path=xl/ctrlProps/ctrlProp1416.xml><?xml version="1.0" encoding="utf-8"?>
<formControlPr xmlns="http://schemas.microsoft.com/office/spreadsheetml/2009/9/main" objectType="CheckBox" fmlaLink="Task_Data!$AC$47" lockText="1" noThreeD="1"/>
</file>

<file path=xl/ctrlProps/ctrlProp1417.xml><?xml version="1.0" encoding="utf-8"?>
<formControlPr xmlns="http://schemas.microsoft.com/office/spreadsheetml/2009/9/main" objectType="CheckBox" fmlaLink="Task_Data!$AD$47" lockText="1" noThreeD="1"/>
</file>

<file path=xl/ctrlProps/ctrlProp1418.xml><?xml version="1.0" encoding="utf-8"?>
<formControlPr xmlns="http://schemas.microsoft.com/office/spreadsheetml/2009/9/main" objectType="CheckBox" fmlaLink="Task_Data!$AE$47" lockText="1" noThreeD="1"/>
</file>

<file path=xl/ctrlProps/ctrlProp1419.xml><?xml version="1.0" encoding="utf-8"?>
<formControlPr xmlns="http://schemas.microsoft.com/office/spreadsheetml/2009/9/main" objectType="CheckBox" fmlaLink="Task_Data!$AF$47" lockText="1" noThreeD="1"/>
</file>

<file path=xl/ctrlProps/ctrlProp1420.xml><?xml version="1.0" encoding="utf-8"?>
<formControlPr xmlns="http://schemas.microsoft.com/office/spreadsheetml/2009/9/main" objectType="CheckBox" fmlaLink="Task_Data!$AG$47" lockText="1" noThreeD="1"/>
</file>

<file path=xl/ctrlProps/ctrlProp1421.xml><?xml version="1.0" encoding="utf-8"?>
<formControlPr xmlns="http://schemas.microsoft.com/office/spreadsheetml/2009/9/main" objectType="CheckBox" fmlaLink="Task_Data!$AH$47" lockText="1" noThreeD="1"/>
</file>

<file path=xl/ctrlProps/ctrlProp1422.xml><?xml version="1.0" encoding="utf-8"?>
<formControlPr xmlns="http://schemas.microsoft.com/office/spreadsheetml/2009/9/main" objectType="CheckBox" fmlaLink="Task_Data!$AI$47" lockText="1" noThreeD="1"/>
</file>

<file path=xl/ctrlProps/ctrlProp1423.xml><?xml version="1.0" encoding="utf-8"?>
<formControlPr xmlns="http://schemas.microsoft.com/office/spreadsheetml/2009/9/main" objectType="CheckBox" fmlaLink="Task_Data!$AJ$47" lockText="1" noThreeD="1"/>
</file>

<file path=xl/ctrlProps/ctrlProp1424.xml><?xml version="1.0" encoding="utf-8"?>
<formControlPr xmlns="http://schemas.microsoft.com/office/spreadsheetml/2009/9/main" objectType="CheckBox" fmlaLink="Task_Data!$AK$47" lockText="1" noThreeD="1"/>
</file>

<file path=xl/ctrlProps/ctrlProp1425.xml><?xml version="1.0" encoding="utf-8"?>
<formControlPr xmlns="http://schemas.microsoft.com/office/spreadsheetml/2009/9/main" objectType="CheckBox" fmlaLink="Task_Data!$AL$47" lockText="1" noThreeD="1"/>
</file>

<file path=xl/ctrlProps/ctrlProp1426.xml><?xml version="1.0" encoding="utf-8"?>
<formControlPr xmlns="http://schemas.microsoft.com/office/spreadsheetml/2009/9/main" objectType="CheckBox" fmlaLink="Task_Data!$H$48" lockText="1" noThreeD="1"/>
</file>

<file path=xl/ctrlProps/ctrlProp1427.xml><?xml version="1.0" encoding="utf-8"?>
<formControlPr xmlns="http://schemas.microsoft.com/office/spreadsheetml/2009/9/main" objectType="CheckBox" fmlaLink="Task_Data!$I$48" lockText="1" noThreeD="1"/>
</file>

<file path=xl/ctrlProps/ctrlProp1428.xml><?xml version="1.0" encoding="utf-8"?>
<formControlPr xmlns="http://schemas.microsoft.com/office/spreadsheetml/2009/9/main" objectType="CheckBox" fmlaLink="Task_Data!$J$48" lockText="1" noThreeD="1"/>
</file>

<file path=xl/ctrlProps/ctrlProp1429.xml><?xml version="1.0" encoding="utf-8"?>
<formControlPr xmlns="http://schemas.microsoft.com/office/spreadsheetml/2009/9/main" objectType="CheckBox" fmlaLink="Task_Data!$K$48" lockText="1" noThreeD="1"/>
</file>

<file path=xl/ctrlProps/ctrlProp1430.xml><?xml version="1.0" encoding="utf-8"?>
<formControlPr xmlns="http://schemas.microsoft.com/office/spreadsheetml/2009/9/main" objectType="CheckBox" fmlaLink="Task_Data!$L$48" lockText="1" noThreeD="1"/>
</file>

<file path=xl/ctrlProps/ctrlProp1431.xml><?xml version="1.0" encoding="utf-8"?>
<formControlPr xmlns="http://schemas.microsoft.com/office/spreadsheetml/2009/9/main" objectType="CheckBox" fmlaLink="Task_Data!$M$48" lockText="1" noThreeD="1"/>
</file>

<file path=xl/ctrlProps/ctrlProp1432.xml><?xml version="1.0" encoding="utf-8"?>
<formControlPr xmlns="http://schemas.microsoft.com/office/spreadsheetml/2009/9/main" objectType="CheckBox" fmlaLink="Task_Data!$N$48" lockText="1" noThreeD="1"/>
</file>

<file path=xl/ctrlProps/ctrlProp1433.xml><?xml version="1.0" encoding="utf-8"?>
<formControlPr xmlns="http://schemas.microsoft.com/office/spreadsheetml/2009/9/main" objectType="CheckBox" fmlaLink="Task_Data!$O$48" lockText="1" noThreeD="1"/>
</file>

<file path=xl/ctrlProps/ctrlProp1434.xml><?xml version="1.0" encoding="utf-8"?>
<formControlPr xmlns="http://schemas.microsoft.com/office/spreadsheetml/2009/9/main" objectType="CheckBox" fmlaLink="Task_Data!$P$48" lockText="1" noThreeD="1"/>
</file>

<file path=xl/ctrlProps/ctrlProp1435.xml><?xml version="1.0" encoding="utf-8"?>
<formControlPr xmlns="http://schemas.microsoft.com/office/spreadsheetml/2009/9/main" objectType="CheckBox" fmlaLink="Task_Data!$Q$48" lockText="1" noThreeD="1"/>
</file>

<file path=xl/ctrlProps/ctrlProp1436.xml><?xml version="1.0" encoding="utf-8"?>
<formControlPr xmlns="http://schemas.microsoft.com/office/spreadsheetml/2009/9/main" objectType="CheckBox" fmlaLink="Task_Data!$R$48" lockText="1" noThreeD="1"/>
</file>

<file path=xl/ctrlProps/ctrlProp1437.xml><?xml version="1.0" encoding="utf-8"?>
<formControlPr xmlns="http://schemas.microsoft.com/office/spreadsheetml/2009/9/main" objectType="CheckBox" fmlaLink="Task_Data!$S$48" lockText="1" noThreeD="1"/>
</file>

<file path=xl/ctrlProps/ctrlProp1438.xml><?xml version="1.0" encoding="utf-8"?>
<formControlPr xmlns="http://schemas.microsoft.com/office/spreadsheetml/2009/9/main" objectType="CheckBox" fmlaLink="Task_Data!$T$48" lockText="1" noThreeD="1"/>
</file>

<file path=xl/ctrlProps/ctrlProp1439.xml><?xml version="1.0" encoding="utf-8"?>
<formControlPr xmlns="http://schemas.microsoft.com/office/spreadsheetml/2009/9/main" objectType="CheckBox" fmlaLink="Task_Data!$U$48" lockText="1" noThreeD="1"/>
</file>

<file path=xl/ctrlProps/ctrlProp1440.xml><?xml version="1.0" encoding="utf-8"?>
<formControlPr xmlns="http://schemas.microsoft.com/office/spreadsheetml/2009/9/main" objectType="CheckBox" fmlaLink="Task_Data!$V$48" lockText="1" noThreeD="1"/>
</file>

<file path=xl/ctrlProps/ctrlProp1441.xml><?xml version="1.0" encoding="utf-8"?>
<formControlPr xmlns="http://schemas.microsoft.com/office/spreadsheetml/2009/9/main" objectType="CheckBox" fmlaLink="Task_Data!$W$48" lockText="1" noThreeD="1"/>
</file>

<file path=xl/ctrlProps/ctrlProp1442.xml><?xml version="1.0" encoding="utf-8"?>
<formControlPr xmlns="http://schemas.microsoft.com/office/spreadsheetml/2009/9/main" objectType="CheckBox" fmlaLink="Task_Data!$X$48" lockText="1" noThreeD="1"/>
</file>

<file path=xl/ctrlProps/ctrlProp1443.xml><?xml version="1.0" encoding="utf-8"?>
<formControlPr xmlns="http://schemas.microsoft.com/office/spreadsheetml/2009/9/main" objectType="CheckBox" fmlaLink="Task_Data!$Y$48" lockText="1" noThreeD="1"/>
</file>

<file path=xl/ctrlProps/ctrlProp1444.xml><?xml version="1.0" encoding="utf-8"?>
<formControlPr xmlns="http://schemas.microsoft.com/office/spreadsheetml/2009/9/main" objectType="CheckBox" fmlaLink="Task_Data!$Z$48" lockText="1" noThreeD="1"/>
</file>

<file path=xl/ctrlProps/ctrlProp1445.xml><?xml version="1.0" encoding="utf-8"?>
<formControlPr xmlns="http://schemas.microsoft.com/office/spreadsheetml/2009/9/main" objectType="CheckBox" fmlaLink="Task_Data!$AA$48" lockText="1" noThreeD="1"/>
</file>

<file path=xl/ctrlProps/ctrlProp1446.xml><?xml version="1.0" encoding="utf-8"?>
<formControlPr xmlns="http://schemas.microsoft.com/office/spreadsheetml/2009/9/main" objectType="CheckBox" fmlaLink="Task_Data!$AB$48" lockText="1" noThreeD="1"/>
</file>

<file path=xl/ctrlProps/ctrlProp1447.xml><?xml version="1.0" encoding="utf-8"?>
<formControlPr xmlns="http://schemas.microsoft.com/office/spreadsheetml/2009/9/main" objectType="CheckBox" fmlaLink="Task_Data!$AC$48" lockText="1" noThreeD="1"/>
</file>

<file path=xl/ctrlProps/ctrlProp1448.xml><?xml version="1.0" encoding="utf-8"?>
<formControlPr xmlns="http://schemas.microsoft.com/office/spreadsheetml/2009/9/main" objectType="CheckBox" fmlaLink="Task_Data!$AD$48" lockText="1" noThreeD="1"/>
</file>

<file path=xl/ctrlProps/ctrlProp1449.xml><?xml version="1.0" encoding="utf-8"?>
<formControlPr xmlns="http://schemas.microsoft.com/office/spreadsheetml/2009/9/main" objectType="CheckBox" fmlaLink="Task_Data!$AE$48" lockText="1" noThreeD="1"/>
</file>

<file path=xl/ctrlProps/ctrlProp1450.xml><?xml version="1.0" encoding="utf-8"?>
<formControlPr xmlns="http://schemas.microsoft.com/office/spreadsheetml/2009/9/main" objectType="CheckBox" fmlaLink="Task_Data!$AF$48" lockText="1" noThreeD="1"/>
</file>

<file path=xl/ctrlProps/ctrlProp1451.xml><?xml version="1.0" encoding="utf-8"?>
<formControlPr xmlns="http://schemas.microsoft.com/office/spreadsheetml/2009/9/main" objectType="CheckBox" fmlaLink="Task_Data!$AG$48" lockText="1" noThreeD="1"/>
</file>

<file path=xl/ctrlProps/ctrlProp1452.xml><?xml version="1.0" encoding="utf-8"?>
<formControlPr xmlns="http://schemas.microsoft.com/office/spreadsheetml/2009/9/main" objectType="CheckBox" fmlaLink="Task_Data!$AH$48" lockText="1" noThreeD="1"/>
</file>

<file path=xl/ctrlProps/ctrlProp1453.xml><?xml version="1.0" encoding="utf-8"?>
<formControlPr xmlns="http://schemas.microsoft.com/office/spreadsheetml/2009/9/main" objectType="CheckBox" fmlaLink="Task_Data!$AI$48" lockText="1" noThreeD="1"/>
</file>

<file path=xl/ctrlProps/ctrlProp1454.xml><?xml version="1.0" encoding="utf-8"?>
<formControlPr xmlns="http://schemas.microsoft.com/office/spreadsheetml/2009/9/main" objectType="CheckBox" fmlaLink="Task_Data!$AJ$48" lockText="1" noThreeD="1"/>
</file>

<file path=xl/ctrlProps/ctrlProp1455.xml><?xml version="1.0" encoding="utf-8"?>
<formControlPr xmlns="http://schemas.microsoft.com/office/spreadsheetml/2009/9/main" objectType="CheckBox" fmlaLink="Task_Data!$AK$48" lockText="1" noThreeD="1"/>
</file>

<file path=xl/ctrlProps/ctrlProp1456.xml><?xml version="1.0" encoding="utf-8"?>
<formControlPr xmlns="http://schemas.microsoft.com/office/spreadsheetml/2009/9/main" objectType="CheckBox" fmlaLink="Task_Data!$AL$48" lockText="1" noThreeD="1"/>
</file>

<file path=xl/ctrlProps/ctrlProp1457.xml><?xml version="1.0" encoding="utf-8"?>
<formControlPr xmlns="http://schemas.microsoft.com/office/spreadsheetml/2009/9/main" objectType="CheckBox" fmlaLink="Task_Data!$H$49" lockText="1" noThreeD="1"/>
</file>

<file path=xl/ctrlProps/ctrlProp1458.xml><?xml version="1.0" encoding="utf-8"?>
<formControlPr xmlns="http://schemas.microsoft.com/office/spreadsheetml/2009/9/main" objectType="CheckBox" fmlaLink="Task_Data!$I$49" lockText="1" noThreeD="1"/>
</file>

<file path=xl/ctrlProps/ctrlProp1459.xml><?xml version="1.0" encoding="utf-8"?>
<formControlPr xmlns="http://schemas.microsoft.com/office/spreadsheetml/2009/9/main" objectType="CheckBox" fmlaLink="Task_Data!$J$49" lockText="1" noThreeD="1"/>
</file>

<file path=xl/ctrlProps/ctrlProp1460.xml><?xml version="1.0" encoding="utf-8"?>
<formControlPr xmlns="http://schemas.microsoft.com/office/spreadsheetml/2009/9/main" objectType="CheckBox" fmlaLink="Task_Data!$K$49" lockText="1" noThreeD="1"/>
</file>

<file path=xl/ctrlProps/ctrlProp1461.xml><?xml version="1.0" encoding="utf-8"?>
<formControlPr xmlns="http://schemas.microsoft.com/office/spreadsheetml/2009/9/main" objectType="CheckBox" fmlaLink="Task_Data!$L$49" lockText="1" noThreeD="1"/>
</file>

<file path=xl/ctrlProps/ctrlProp1462.xml><?xml version="1.0" encoding="utf-8"?>
<formControlPr xmlns="http://schemas.microsoft.com/office/spreadsheetml/2009/9/main" objectType="CheckBox" fmlaLink="Task_Data!$M$49" lockText="1" noThreeD="1"/>
</file>

<file path=xl/ctrlProps/ctrlProp1463.xml><?xml version="1.0" encoding="utf-8"?>
<formControlPr xmlns="http://schemas.microsoft.com/office/spreadsheetml/2009/9/main" objectType="CheckBox" fmlaLink="Task_Data!$N$49" lockText="1" noThreeD="1"/>
</file>

<file path=xl/ctrlProps/ctrlProp1464.xml><?xml version="1.0" encoding="utf-8"?>
<formControlPr xmlns="http://schemas.microsoft.com/office/spreadsheetml/2009/9/main" objectType="CheckBox" fmlaLink="Task_Data!$O$49" lockText="1" noThreeD="1"/>
</file>

<file path=xl/ctrlProps/ctrlProp1465.xml><?xml version="1.0" encoding="utf-8"?>
<formControlPr xmlns="http://schemas.microsoft.com/office/spreadsheetml/2009/9/main" objectType="CheckBox" fmlaLink="Task_Data!$P$49" lockText="1" noThreeD="1"/>
</file>

<file path=xl/ctrlProps/ctrlProp1466.xml><?xml version="1.0" encoding="utf-8"?>
<formControlPr xmlns="http://schemas.microsoft.com/office/spreadsheetml/2009/9/main" objectType="CheckBox" fmlaLink="Task_Data!$Q$49" lockText="1" noThreeD="1"/>
</file>

<file path=xl/ctrlProps/ctrlProp1467.xml><?xml version="1.0" encoding="utf-8"?>
<formControlPr xmlns="http://schemas.microsoft.com/office/spreadsheetml/2009/9/main" objectType="CheckBox" fmlaLink="Task_Data!$R$49" lockText="1" noThreeD="1"/>
</file>

<file path=xl/ctrlProps/ctrlProp1468.xml><?xml version="1.0" encoding="utf-8"?>
<formControlPr xmlns="http://schemas.microsoft.com/office/spreadsheetml/2009/9/main" objectType="CheckBox" fmlaLink="Task_Data!$S$49" lockText="1" noThreeD="1"/>
</file>

<file path=xl/ctrlProps/ctrlProp1469.xml><?xml version="1.0" encoding="utf-8"?>
<formControlPr xmlns="http://schemas.microsoft.com/office/spreadsheetml/2009/9/main" objectType="CheckBox" fmlaLink="Task_Data!$T$49" lockText="1" noThreeD="1"/>
</file>

<file path=xl/ctrlProps/ctrlProp1470.xml><?xml version="1.0" encoding="utf-8"?>
<formControlPr xmlns="http://schemas.microsoft.com/office/spreadsheetml/2009/9/main" objectType="CheckBox" fmlaLink="Task_Data!$U$49" lockText="1" noThreeD="1"/>
</file>

<file path=xl/ctrlProps/ctrlProp1471.xml><?xml version="1.0" encoding="utf-8"?>
<formControlPr xmlns="http://schemas.microsoft.com/office/spreadsheetml/2009/9/main" objectType="CheckBox" fmlaLink="Task_Data!$V$49" lockText="1" noThreeD="1"/>
</file>

<file path=xl/ctrlProps/ctrlProp1472.xml><?xml version="1.0" encoding="utf-8"?>
<formControlPr xmlns="http://schemas.microsoft.com/office/spreadsheetml/2009/9/main" objectType="CheckBox" fmlaLink="Task_Data!$W$49" lockText="1" noThreeD="1"/>
</file>

<file path=xl/ctrlProps/ctrlProp1473.xml><?xml version="1.0" encoding="utf-8"?>
<formControlPr xmlns="http://schemas.microsoft.com/office/spreadsheetml/2009/9/main" objectType="CheckBox" fmlaLink="Task_Data!$X$49" lockText="1" noThreeD="1"/>
</file>

<file path=xl/ctrlProps/ctrlProp1474.xml><?xml version="1.0" encoding="utf-8"?>
<formControlPr xmlns="http://schemas.microsoft.com/office/spreadsheetml/2009/9/main" objectType="CheckBox" fmlaLink="Task_Data!$Y$49" lockText="1" noThreeD="1"/>
</file>

<file path=xl/ctrlProps/ctrlProp1475.xml><?xml version="1.0" encoding="utf-8"?>
<formControlPr xmlns="http://schemas.microsoft.com/office/spreadsheetml/2009/9/main" objectType="CheckBox" fmlaLink="Task_Data!$Z$49" lockText="1" noThreeD="1"/>
</file>

<file path=xl/ctrlProps/ctrlProp1476.xml><?xml version="1.0" encoding="utf-8"?>
<formControlPr xmlns="http://schemas.microsoft.com/office/spreadsheetml/2009/9/main" objectType="CheckBox" fmlaLink="Task_Data!$AA$49" lockText="1" noThreeD="1"/>
</file>

<file path=xl/ctrlProps/ctrlProp1477.xml><?xml version="1.0" encoding="utf-8"?>
<formControlPr xmlns="http://schemas.microsoft.com/office/spreadsheetml/2009/9/main" objectType="CheckBox" fmlaLink="Task_Data!$AB$49" lockText="1" noThreeD="1"/>
</file>

<file path=xl/ctrlProps/ctrlProp1478.xml><?xml version="1.0" encoding="utf-8"?>
<formControlPr xmlns="http://schemas.microsoft.com/office/spreadsheetml/2009/9/main" objectType="CheckBox" fmlaLink="Task_Data!$AC$49" lockText="1" noThreeD="1"/>
</file>

<file path=xl/ctrlProps/ctrlProp1479.xml><?xml version="1.0" encoding="utf-8"?>
<formControlPr xmlns="http://schemas.microsoft.com/office/spreadsheetml/2009/9/main" objectType="CheckBox" fmlaLink="Task_Data!$AD$49" lockText="1" noThreeD="1"/>
</file>

<file path=xl/ctrlProps/ctrlProp1480.xml><?xml version="1.0" encoding="utf-8"?>
<formControlPr xmlns="http://schemas.microsoft.com/office/spreadsheetml/2009/9/main" objectType="CheckBox" fmlaLink="Task_Data!$AE$49" lockText="1" noThreeD="1"/>
</file>

<file path=xl/ctrlProps/ctrlProp1481.xml><?xml version="1.0" encoding="utf-8"?>
<formControlPr xmlns="http://schemas.microsoft.com/office/spreadsheetml/2009/9/main" objectType="CheckBox" fmlaLink="Task_Data!$AF$49" lockText="1" noThreeD="1"/>
</file>

<file path=xl/ctrlProps/ctrlProp1482.xml><?xml version="1.0" encoding="utf-8"?>
<formControlPr xmlns="http://schemas.microsoft.com/office/spreadsheetml/2009/9/main" objectType="CheckBox" fmlaLink="Task_Data!$AG$49" lockText="1" noThreeD="1"/>
</file>

<file path=xl/ctrlProps/ctrlProp1483.xml><?xml version="1.0" encoding="utf-8"?>
<formControlPr xmlns="http://schemas.microsoft.com/office/spreadsheetml/2009/9/main" objectType="CheckBox" fmlaLink="Task_Data!$AH$49" lockText="1" noThreeD="1"/>
</file>

<file path=xl/ctrlProps/ctrlProp1484.xml><?xml version="1.0" encoding="utf-8"?>
<formControlPr xmlns="http://schemas.microsoft.com/office/spreadsheetml/2009/9/main" objectType="CheckBox" fmlaLink="Task_Data!$AI$49" lockText="1" noThreeD="1"/>
</file>

<file path=xl/ctrlProps/ctrlProp1485.xml><?xml version="1.0" encoding="utf-8"?>
<formControlPr xmlns="http://schemas.microsoft.com/office/spreadsheetml/2009/9/main" objectType="CheckBox" fmlaLink="Task_Data!$AJ$49" lockText="1" noThreeD="1"/>
</file>

<file path=xl/ctrlProps/ctrlProp1486.xml><?xml version="1.0" encoding="utf-8"?>
<formControlPr xmlns="http://schemas.microsoft.com/office/spreadsheetml/2009/9/main" objectType="CheckBox" fmlaLink="Task_Data!$AK$49" lockText="1" noThreeD="1"/>
</file>

<file path=xl/ctrlProps/ctrlProp1487.xml><?xml version="1.0" encoding="utf-8"?>
<formControlPr xmlns="http://schemas.microsoft.com/office/spreadsheetml/2009/9/main" objectType="CheckBox" fmlaLink="Task_Data!$AL$49" lockText="1" noThreeD="1"/>
</file>

<file path=xl/ctrlProps/ctrlProp1488.xml><?xml version="1.0" encoding="utf-8"?>
<formControlPr xmlns="http://schemas.microsoft.com/office/spreadsheetml/2009/9/main" objectType="CheckBox" fmlaLink="Task_Data!$H$50" lockText="1" noThreeD="1"/>
</file>

<file path=xl/ctrlProps/ctrlProp1489.xml><?xml version="1.0" encoding="utf-8"?>
<formControlPr xmlns="http://schemas.microsoft.com/office/spreadsheetml/2009/9/main" objectType="CheckBox" fmlaLink="Task_Data!$I$50" lockText="1" noThreeD="1"/>
</file>

<file path=xl/ctrlProps/ctrlProp1490.xml><?xml version="1.0" encoding="utf-8"?>
<formControlPr xmlns="http://schemas.microsoft.com/office/spreadsheetml/2009/9/main" objectType="CheckBox" fmlaLink="Task_Data!$J$50" lockText="1" noThreeD="1"/>
</file>

<file path=xl/ctrlProps/ctrlProp1491.xml><?xml version="1.0" encoding="utf-8"?>
<formControlPr xmlns="http://schemas.microsoft.com/office/spreadsheetml/2009/9/main" objectType="CheckBox" fmlaLink="Task_Data!$K$50" lockText="1" noThreeD="1"/>
</file>

<file path=xl/ctrlProps/ctrlProp1492.xml><?xml version="1.0" encoding="utf-8"?>
<formControlPr xmlns="http://schemas.microsoft.com/office/spreadsheetml/2009/9/main" objectType="CheckBox" fmlaLink="Task_Data!$L$50" lockText="1" noThreeD="1"/>
</file>

<file path=xl/ctrlProps/ctrlProp1493.xml><?xml version="1.0" encoding="utf-8"?>
<formControlPr xmlns="http://schemas.microsoft.com/office/spreadsheetml/2009/9/main" objectType="CheckBox" fmlaLink="Task_Data!$M$50" lockText="1" noThreeD="1"/>
</file>

<file path=xl/ctrlProps/ctrlProp1494.xml><?xml version="1.0" encoding="utf-8"?>
<formControlPr xmlns="http://schemas.microsoft.com/office/spreadsheetml/2009/9/main" objectType="CheckBox" fmlaLink="Task_Data!$N$50" lockText="1" noThreeD="1"/>
</file>

<file path=xl/ctrlProps/ctrlProp1495.xml><?xml version="1.0" encoding="utf-8"?>
<formControlPr xmlns="http://schemas.microsoft.com/office/spreadsheetml/2009/9/main" objectType="CheckBox" fmlaLink="Task_Data!$O$50" lockText="1" noThreeD="1"/>
</file>

<file path=xl/ctrlProps/ctrlProp1496.xml><?xml version="1.0" encoding="utf-8"?>
<formControlPr xmlns="http://schemas.microsoft.com/office/spreadsheetml/2009/9/main" objectType="CheckBox" fmlaLink="Task_Data!$P$50" lockText="1" noThreeD="1"/>
</file>

<file path=xl/ctrlProps/ctrlProp1497.xml><?xml version="1.0" encoding="utf-8"?>
<formControlPr xmlns="http://schemas.microsoft.com/office/spreadsheetml/2009/9/main" objectType="CheckBox" fmlaLink="Task_Data!$Q$50" lockText="1" noThreeD="1"/>
</file>

<file path=xl/ctrlProps/ctrlProp1498.xml><?xml version="1.0" encoding="utf-8"?>
<formControlPr xmlns="http://schemas.microsoft.com/office/spreadsheetml/2009/9/main" objectType="CheckBox" fmlaLink="Task_Data!$R$50" lockText="1" noThreeD="1"/>
</file>

<file path=xl/ctrlProps/ctrlProp1499.xml><?xml version="1.0" encoding="utf-8"?>
<formControlPr xmlns="http://schemas.microsoft.com/office/spreadsheetml/2009/9/main" objectType="CheckBox" fmlaLink="Task_Data!$S$50" lockText="1" noThreeD="1"/>
</file>

<file path=xl/ctrlProps/ctrlProp1500.xml><?xml version="1.0" encoding="utf-8"?>
<formControlPr xmlns="http://schemas.microsoft.com/office/spreadsheetml/2009/9/main" objectType="CheckBox" fmlaLink="Task_Data!$T$50" lockText="1" noThreeD="1"/>
</file>

<file path=xl/ctrlProps/ctrlProp1501.xml><?xml version="1.0" encoding="utf-8"?>
<formControlPr xmlns="http://schemas.microsoft.com/office/spreadsheetml/2009/9/main" objectType="CheckBox" fmlaLink="Task_Data!$U$50" lockText="1" noThreeD="1"/>
</file>

<file path=xl/ctrlProps/ctrlProp1502.xml><?xml version="1.0" encoding="utf-8"?>
<formControlPr xmlns="http://schemas.microsoft.com/office/spreadsheetml/2009/9/main" objectType="CheckBox" fmlaLink="Task_Data!$V$50" lockText="1" noThreeD="1"/>
</file>

<file path=xl/ctrlProps/ctrlProp1503.xml><?xml version="1.0" encoding="utf-8"?>
<formControlPr xmlns="http://schemas.microsoft.com/office/spreadsheetml/2009/9/main" objectType="CheckBox" fmlaLink="Task_Data!$W$50" lockText="1" noThreeD="1"/>
</file>

<file path=xl/ctrlProps/ctrlProp1504.xml><?xml version="1.0" encoding="utf-8"?>
<formControlPr xmlns="http://schemas.microsoft.com/office/spreadsheetml/2009/9/main" objectType="CheckBox" fmlaLink="Task_Data!$X$50" lockText="1" noThreeD="1"/>
</file>

<file path=xl/ctrlProps/ctrlProp1505.xml><?xml version="1.0" encoding="utf-8"?>
<formControlPr xmlns="http://schemas.microsoft.com/office/spreadsheetml/2009/9/main" objectType="CheckBox" fmlaLink="Task_Data!$Y$50" lockText="1" noThreeD="1"/>
</file>

<file path=xl/ctrlProps/ctrlProp1506.xml><?xml version="1.0" encoding="utf-8"?>
<formControlPr xmlns="http://schemas.microsoft.com/office/spreadsheetml/2009/9/main" objectType="CheckBox" fmlaLink="Task_Data!$Z$50" lockText="1" noThreeD="1"/>
</file>

<file path=xl/ctrlProps/ctrlProp1507.xml><?xml version="1.0" encoding="utf-8"?>
<formControlPr xmlns="http://schemas.microsoft.com/office/spreadsheetml/2009/9/main" objectType="CheckBox" fmlaLink="Task_Data!$AA$50" lockText="1" noThreeD="1"/>
</file>

<file path=xl/ctrlProps/ctrlProp1508.xml><?xml version="1.0" encoding="utf-8"?>
<formControlPr xmlns="http://schemas.microsoft.com/office/spreadsheetml/2009/9/main" objectType="CheckBox" fmlaLink="Task_Data!$AB$50" lockText="1" noThreeD="1"/>
</file>

<file path=xl/ctrlProps/ctrlProp1509.xml><?xml version="1.0" encoding="utf-8"?>
<formControlPr xmlns="http://schemas.microsoft.com/office/spreadsheetml/2009/9/main" objectType="CheckBox" fmlaLink="Task_Data!$AC$50" lockText="1" noThreeD="1"/>
</file>

<file path=xl/ctrlProps/ctrlProp1510.xml><?xml version="1.0" encoding="utf-8"?>
<formControlPr xmlns="http://schemas.microsoft.com/office/spreadsheetml/2009/9/main" objectType="CheckBox" fmlaLink="Task_Data!$AD$50" lockText="1" noThreeD="1"/>
</file>

<file path=xl/ctrlProps/ctrlProp1511.xml><?xml version="1.0" encoding="utf-8"?>
<formControlPr xmlns="http://schemas.microsoft.com/office/spreadsheetml/2009/9/main" objectType="CheckBox" fmlaLink="Task_Data!$AE$50" lockText="1" noThreeD="1"/>
</file>

<file path=xl/ctrlProps/ctrlProp1512.xml><?xml version="1.0" encoding="utf-8"?>
<formControlPr xmlns="http://schemas.microsoft.com/office/spreadsheetml/2009/9/main" objectType="CheckBox" fmlaLink="Task_Data!$AF$50" lockText="1" noThreeD="1"/>
</file>

<file path=xl/ctrlProps/ctrlProp1513.xml><?xml version="1.0" encoding="utf-8"?>
<formControlPr xmlns="http://schemas.microsoft.com/office/spreadsheetml/2009/9/main" objectType="CheckBox" fmlaLink="Task_Data!$AG$50" lockText="1" noThreeD="1"/>
</file>

<file path=xl/ctrlProps/ctrlProp1514.xml><?xml version="1.0" encoding="utf-8"?>
<formControlPr xmlns="http://schemas.microsoft.com/office/spreadsheetml/2009/9/main" objectType="CheckBox" fmlaLink="Task_Data!$AH$50" lockText="1" noThreeD="1"/>
</file>

<file path=xl/ctrlProps/ctrlProp1515.xml><?xml version="1.0" encoding="utf-8"?>
<formControlPr xmlns="http://schemas.microsoft.com/office/spreadsheetml/2009/9/main" objectType="CheckBox" fmlaLink="Task_Data!$AI$50" lockText="1" noThreeD="1"/>
</file>

<file path=xl/ctrlProps/ctrlProp1516.xml><?xml version="1.0" encoding="utf-8"?>
<formControlPr xmlns="http://schemas.microsoft.com/office/spreadsheetml/2009/9/main" objectType="CheckBox" fmlaLink="Task_Data!$AJ$50" lockText="1" noThreeD="1"/>
</file>

<file path=xl/ctrlProps/ctrlProp1517.xml><?xml version="1.0" encoding="utf-8"?>
<formControlPr xmlns="http://schemas.microsoft.com/office/spreadsheetml/2009/9/main" objectType="CheckBox" fmlaLink="Task_Data!$AK$50" lockText="1" noThreeD="1"/>
</file>

<file path=xl/ctrlProps/ctrlProp1518.xml><?xml version="1.0" encoding="utf-8"?>
<formControlPr xmlns="http://schemas.microsoft.com/office/spreadsheetml/2009/9/main" objectType="CheckBox" fmlaLink="Task_Data!$AL$50" lockText="1" noThreeD="1"/>
</file>

<file path=xl/ctrlProps/ctrlProp1519.xml><?xml version="1.0" encoding="utf-8"?>
<formControlPr xmlns="http://schemas.microsoft.com/office/spreadsheetml/2009/9/main" objectType="CheckBox" fmlaLink="Task_Data!$H$51" lockText="1" noThreeD="1"/>
</file>

<file path=xl/ctrlProps/ctrlProp1520.xml><?xml version="1.0" encoding="utf-8"?>
<formControlPr xmlns="http://schemas.microsoft.com/office/spreadsheetml/2009/9/main" objectType="CheckBox" fmlaLink="Task_Data!$I$51" lockText="1" noThreeD="1"/>
</file>

<file path=xl/ctrlProps/ctrlProp1521.xml><?xml version="1.0" encoding="utf-8"?>
<formControlPr xmlns="http://schemas.microsoft.com/office/spreadsheetml/2009/9/main" objectType="CheckBox" fmlaLink="Task_Data!$J$51" lockText="1" noThreeD="1"/>
</file>

<file path=xl/ctrlProps/ctrlProp1522.xml><?xml version="1.0" encoding="utf-8"?>
<formControlPr xmlns="http://schemas.microsoft.com/office/spreadsheetml/2009/9/main" objectType="CheckBox" fmlaLink="Task_Data!$K$51" lockText="1" noThreeD="1"/>
</file>

<file path=xl/ctrlProps/ctrlProp1523.xml><?xml version="1.0" encoding="utf-8"?>
<formControlPr xmlns="http://schemas.microsoft.com/office/spreadsheetml/2009/9/main" objectType="CheckBox" fmlaLink="Task_Data!$L$51" lockText="1" noThreeD="1"/>
</file>

<file path=xl/ctrlProps/ctrlProp1524.xml><?xml version="1.0" encoding="utf-8"?>
<formControlPr xmlns="http://schemas.microsoft.com/office/spreadsheetml/2009/9/main" objectType="CheckBox" fmlaLink="Task_Data!$M$51" lockText="1" noThreeD="1"/>
</file>

<file path=xl/ctrlProps/ctrlProp1525.xml><?xml version="1.0" encoding="utf-8"?>
<formControlPr xmlns="http://schemas.microsoft.com/office/spreadsheetml/2009/9/main" objectType="CheckBox" fmlaLink="Task_Data!$N$51" lockText="1" noThreeD="1"/>
</file>

<file path=xl/ctrlProps/ctrlProp1526.xml><?xml version="1.0" encoding="utf-8"?>
<formControlPr xmlns="http://schemas.microsoft.com/office/spreadsheetml/2009/9/main" objectType="CheckBox" fmlaLink="Task_Data!$O$51" lockText="1" noThreeD="1"/>
</file>

<file path=xl/ctrlProps/ctrlProp1527.xml><?xml version="1.0" encoding="utf-8"?>
<formControlPr xmlns="http://schemas.microsoft.com/office/spreadsheetml/2009/9/main" objectType="CheckBox" fmlaLink="Task_Data!$P$51" lockText="1" noThreeD="1"/>
</file>

<file path=xl/ctrlProps/ctrlProp1528.xml><?xml version="1.0" encoding="utf-8"?>
<formControlPr xmlns="http://schemas.microsoft.com/office/spreadsheetml/2009/9/main" objectType="CheckBox" fmlaLink="Task_Data!$Q$51" lockText="1" noThreeD="1"/>
</file>

<file path=xl/ctrlProps/ctrlProp1529.xml><?xml version="1.0" encoding="utf-8"?>
<formControlPr xmlns="http://schemas.microsoft.com/office/spreadsheetml/2009/9/main" objectType="CheckBox" fmlaLink="Task_Data!$R$51" lockText="1" noThreeD="1"/>
</file>

<file path=xl/ctrlProps/ctrlProp1530.xml><?xml version="1.0" encoding="utf-8"?>
<formControlPr xmlns="http://schemas.microsoft.com/office/spreadsheetml/2009/9/main" objectType="CheckBox" fmlaLink="Task_Data!$S$51" lockText="1" noThreeD="1"/>
</file>

<file path=xl/ctrlProps/ctrlProp1531.xml><?xml version="1.0" encoding="utf-8"?>
<formControlPr xmlns="http://schemas.microsoft.com/office/spreadsheetml/2009/9/main" objectType="CheckBox" fmlaLink="Task_Data!$T$51" lockText="1" noThreeD="1"/>
</file>

<file path=xl/ctrlProps/ctrlProp1532.xml><?xml version="1.0" encoding="utf-8"?>
<formControlPr xmlns="http://schemas.microsoft.com/office/spreadsheetml/2009/9/main" objectType="CheckBox" fmlaLink="Task_Data!$U$51" lockText="1" noThreeD="1"/>
</file>

<file path=xl/ctrlProps/ctrlProp1533.xml><?xml version="1.0" encoding="utf-8"?>
<formControlPr xmlns="http://schemas.microsoft.com/office/spreadsheetml/2009/9/main" objectType="CheckBox" fmlaLink="Task_Data!$V$51" lockText="1" noThreeD="1"/>
</file>

<file path=xl/ctrlProps/ctrlProp1534.xml><?xml version="1.0" encoding="utf-8"?>
<formControlPr xmlns="http://schemas.microsoft.com/office/spreadsheetml/2009/9/main" objectType="CheckBox" fmlaLink="Task_Data!$W$51" lockText="1" noThreeD="1"/>
</file>

<file path=xl/ctrlProps/ctrlProp1535.xml><?xml version="1.0" encoding="utf-8"?>
<formControlPr xmlns="http://schemas.microsoft.com/office/spreadsheetml/2009/9/main" objectType="CheckBox" fmlaLink="Task_Data!$X$51" lockText="1" noThreeD="1"/>
</file>

<file path=xl/ctrlProps/ctrlProp1536.xml><?xml version="1.0" encoding="utf-8"?>
<formControlPr xmlns="http://schemas.microsoft.com/office/spreadsheetml/2009/9/main" objectType="CheckBox" fmlaLink="Task_Data!$Y$51" lockText="1" noThreeD="1"/>
</file>

<file path=xl/ctrlProps/ctrlProp1537.xml><?xml version="1.0" encoding="utf-8"?>
<formControlPr xmlns="http://schemas.microsoft.com/office/spreadsheetml/2009/9/main" objectType="CheckBox" fmlaLink="Task_Data!$Z$51" lockText="1" noThreeD="1"/>
</file>

<file path=xl/ctrlProps/ctrlProp1538.xml><?xml version="1.0" encoding="utf-8"?>
<formControlPr xmlns="http://schemas.microsoft.com/office/spreadsheetml/2009/9/main" objectType="CheckBox" fmlaLink="Task_Data!$AA$51" lockText="1" noThreeD="1"/>
</file>

<file path=xl/ctrlProps/ctrlProp1539.xml><?xml version="1.0" encoding="utf-8"?>
<formControlPr xmlns="http://schemas.microsoft.com/office/spreadsheetml/2009/9/main" objectType="CheckBox" fmlaLink="Task_Data!$AB$51" lockText="1" noThreeD="1"/>
</file>

<file path=xl/ctrlProps/ctrlProp1540.xml><?xml version="1.0" encoding="utf-8"?>
<formControlPr xmlns="http://schemas.microsoft.com/office/spreadsheetml/2009/9/main" objectType="CheckBox" fmlaLink="Task_Data!$AC$51" lockText="1" noThreeD="1"/>
</file>

<file path=xl/ctrlProps/ctrlProp1541.xml><?xml version="1.0" encoding="utf-8"?>
<formControlPr xmlns="http://schemas.microsoft.com/office/spreadsheetml/2009/9/main" objectType="CheckBox" fmlaLink="Task_Data!$AD$51" lockText="1" noThreeD="1"/>
</file>

<file path=xl/ctrlProps/ctrlProp1542.xml><?xml version="1.0" encoding="utf-8"?>
<formControlPr xmlns="http://schemas.microsoft.com/office/spreadsheetml/2009/9/main" objectType="CheckBox" fmlaLink="Task_Data!$AE$51" lockText="1" noThreeD="1"/>
</file>

<file path=xl/ctrlProps/ctrlProp1543.xml><?xml version="1.0" encoding="utf-8"?>
<formControlPr xmlns="http://schemas.microsoft.com/office/spreadsheetml/2009/9/main" objectType="CheckBox" fmlaLink="Task_Data!$AF$51" lockText="1" noThreeD="1"/>
</file>

<file path=xl/ctrlProps/ctrlProp1544.xml><?xml version="1.0" encoding="utf-8"?>
<formControlPr xmlns="http://schemas.microsoft.com/office/spreadsheetml/2009/9/main" objectType="CheckBox" fmlaLink="Task_Data!$AG$51" lockText="1" noThreeD="1"/>
</file>

<file path=xl/ctrlProps/ctrlProp1545.xml><?xml version="1.0" encoding="utf-8"?>
<formControlPr xmlns="http://schemas.microsoft.com/office/spreadsheetml/2009/9/main" objectType="CheckBox" fmlaLink="Task_Data!$AH$51" lockText="1" noThreeD="1"/>
</file>

<file path=xl/ctrlProps/ctrlProp1546.xml><?xml version="1.0" encoding="utf-8"?>
<formControlPr xmlns="http://schemas.microsoft.com/office/spreadsheetml/2009/9/main" objectType="CheckBox" fmlaLink="Task_Data!$AI$51" lockText="1" noThreeD="1"/>
</file>

<file path=xl/ctrlProps/ctrlProp1547.xml><?xml version="1.0" encoding="utf-8"?>
<formControlPr xmlns="http://schemas.microsoft.com/office/spreadsheetml/2009/9/main" objectType="CheckBox" fmlaLink="Task_Data!$AJ$51" lockText="1" noThreeD="1"/>
</file>

<file path=xl/ctrlProps/ctrlProp1548.xml><?xml version="1.0" encoding="utf-8"?>
<formControlPr xmlns="http://schemas.microsoft.com/office/spreadsheetml/2009/9/main" objectType="CheckBox" fmlaLink="Task_Data!$AK$51" lockText="1" noThreeD="1"/>
</file>

<file path=xl/ctrlProps/ctrlProp1549.xml><?xml version="1.0" encoding="utf-8"?>
<formControlPr xmlns="http://schemas.microsoft.com/office/spreadsheetml/2009/9/main" objectType="CheckBox" fmlaLink="Task_Data!$AL$51" lockText="1" noThreeD="1"/>
</file>

<file path=xl/ctrlProps/ctrlProp1550.xml><?xml version="1.0" encoding="utf-8"?>
<formControlPr xmlns="http://schemas.microsoft.com/office/spreadsheetml/2009/9/main" objectType="CheckBox" fmlaLink="Task_Data!$J$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19</xdr:row>
          <xdr:rowOff>38100</xdr:rowOff>
        </xdr:from>
        <xdr:to>
          <xdr:col>7</xdr:col>
          <xdr:colOff>342900</xdr:colOff>
          <xdr:row>19</xdr:row>
          <xdr:rowOff>266700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19</xdr:row>
          <xdr:rowOff>38100</xdr:rowOff>
        </xdr:from>
        <xdr:to>
          <xdr:col>8</xdr:col>
          <xdr:colOff>342900</xdr:colOff>
          <xdr:row>19</xdr:row>
          <xdr:rowOff>266700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19</xdr:row>
          <xdr:rowOff>38100</xdr:rowOff>
        </xdr:from>
        <xdr:to>
          <xdr:col>9</xdr:col>
          <xdr:colOff>342900</xdr:colOff>
          <xdr:row>19</xdr:row>
          <xdr:rowOff>266700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19</xdr:row>
          <xdr:rowOff>38100</xdr:rowOff>
        </xdr:from>
        <xdr:to>
          <xdr:col>10</xdr:col>
          <xdr:colOff>342900</xdr:colOff>
          <xdr:row>19</xdr:row>
          <xdr:rowOff>266700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19</xdr:row>
          <xdr:rowOff>38100</xdr:rowOff>
        </xdr:from>
        <xdr:to>
          <xdr:col>11</xdr:col>
          <xdr:colOff>342900</xdr:colOff>
          <xdr:row>19</xdr:row>
          <xdr:rowOff>266700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19</xdr:row>
          <xdr:rowOff>38100</xdr:rowOff>
        </xdr:from>
        <xdr:to>
          <xdr:col>12</xdr:col>
          <xdr:colOff>342900</xdr:colOff>
          <xdr:row>19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19</xdr:row>
          <xdr:rowOff>38100</xdr:rowOff>
        </xdr:from>
        <xdr:to>
          <xdr:col>13</xdr:col>
          <xdr:colOff>342900</xdr:colOff>
          <xdr:row>19</xdr:row>
          <xdr:rowOff>266700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19</xdr:row>
          <xdr:rowOff>38100</xdr:rowOff>
        </xdr:from>
        <xdr:to>
          <xdr:col>14</xdr:col>
          <xdr:colOff>342900</xdr:colOff>
          <xdr:row>19</xdr:row>
          <xdr:rowOff>266700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19</xdr:row>
          <xdr:rowOff>38100</xdr:rowOff>
        </xdr:from>
        <xdr:to>
          <xdr:col>15</xdr:col>
          <xdr:colOff>342900</xdr:colOff>
          <xdr:row>19</xdr:row>
          <xdr:rowOff>266700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19</xdr:row>
          <xdr:rowOff>38100</xdr:rowOff>
        </xdr:from>
        <xdr:to>
          <xdr:col>16</xdr:col>
          <xdr:colOff>342900</xdr:colOff>
          <xdr:row>19</xdr:row>
          <xdr:rowOff>266700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19</xdr:row>
          <xdr:rowOff>38100</xdr:rowOff>
        </xdr:from>
        <xdr:to>
          <xdr:col>17</xdr:col>
          <xdr:colOff>342900</xdr:colOff>
          <xdr:row>19</xdr:row>
          <xdr:rowOff>266700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19</xdr:row>
          <xdr:rowOff>38100</xdr:rowOff>
        </xdr:from>
        <xdr:to>
          <xdr:col>18</xdr:col>
          <xdr:colOff>342900</xdr:colOff>
          <xdr:row>19</xdr:row>
          <xdr:rowOff>266700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19</xdr:row>
          <xdr:rowOff>38100</xdr:rowOff>
        </xdr:from>
        <xdr:to>
          <xdr:col>19</xdr:col>
          <xdr:colOff>342900</xdr:colOff>
          <xdr:row>19</xdr:row>
          <xdr:rowOff>266700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19</xdr:row>
          <xdr:rowOff>38100</xdr:rowOff>
        </xdr:from>
        <xdr:to>
          <xdr:col>20</xdr:col>
          <xdr:colOff>342900</xdr:colOff>
          <xdr:row>19</xdr:row>
          <xdr:rowOff>266700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19</xdr:row>
          <xdr:rowOff>38100</xdr:rowOff>
        </xdr:from>
        <xdr:to>
          <xdr:col>21</xdr:col>
          <xdr:colOff>342900</xdr:colOff>
          <xdr:row>19</xdr:row>
          <xdr:rowOff>266700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19</xdr:row>
          <xdr:rowOff>38100</xdr:rowOff>
        </xdr:from>
        <xdr:to>
          <xdr:col>22</xdr:col>
          <xdr:colOff>342900</xdr:colOff>
          <xdr:row>19</xdr:row>
          <xdr:rowOff>266700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19</xdr:row>
          <xdr:rowOff>38100</xdr:rowOff>
        </xdr:from>
        <xdr:to>
          <xdr:col>23</xdr:col>
          <xdr:colOff>342900</xdr:colOff>
          <xdr:row>19</xdr:row>
          <xdr:rowOff>266700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19</xdr:row>
          <xdr:rowOff>38100</xdr:rowOff>
        </xdr:from>
        <xdr:to>
          <xdr:col>24</xdr:col>
          <xdr:colOff>342900</xdr:colOff>
          <xdr:row>19</xdr:row>
          <xdr:rowOff>266700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19</xdr:row>
          <xdr:rowOff>38100</xdr:rowOff>
        </xdr:from>
        <xdr:to>
          <xdr:col>25</xdr:col>
          <xdr:colOff>342900</xdr:colOff>
          <xdr:row>19</xdr:row>
          <xdr:rowOff>266700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19</xdr:row>
          <xdr:rowOff>38100</xdr:rowOff>
        </xdr:from>
        <xdr:to>
          <xdr:col>26</xdr:col>
          <xdr:colOff>342900</xdr:colOff>
          <xdr:row>19</xdr:row>
          <xdr:rowOff>266700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19</xdr:row>
          <xdr:rowOff>38100</xdr:rowOff>
        </xdr:from>
        <xdr:to>
          <xdr:col>27</xdr:col>
          <xdr:colOff>342900</xdr:colOff>
          <xdr:row>19</xdr:row>
          <xdr:rowOff>266700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19</xdr:row>
          <xdr:rowOff>38100</xdr:rowOff>
        </xdr:from>
        <xdr:to>
          <xdr:col>28</xdr:col>
          <xdr:colOff>342900</xdr:colOff>
          <xdr:row>19</xdr:row>
          <xdr:rowOff>266700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19</xdr:row>
          <xdr:rowOff>38100</xdr:rowOff>
        </xdr:from>
        <xdr:to>
          <xdr:col>29</xdr:col>
          <xdr:colOff>342900</xdr:colOff>
          <xdr:row>19</xdr:row>
          <xdr:rowOff>266700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19</xdr:row>
          <xdr:rowOff>38100</xdr:rowOff>
        </xdr:from>
        <xdr:to>
          <xdr:col>30</xdr:col>
          <xdr:colOff>342900</xdr:colOff>
          <xdr:row>19</xdr:row>
          <xdr:rowOff>266700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19</xdr:row>
          <xdr:rowOff>38100</xdr:rowOff>
        </xdr:from>
        <xdr:to>
          <xdr:col>31</xdr:col>
          <xdr:colOff>342900</xdr:colOff>
          <xdr:row>19</xdr:row>
          <xdr:rowOff>266700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19</xdr:row>
          <xdr:rowOff>38100</xdr:rowOff>
        </xdr:from>
        <xdr:to>
          <xdr:col>32</xdr:col>
          <xdr:colOff>342900</xdr:colOff>
          <xdr:row>19</xdr:row>
          <xdr:rowOff>266700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19</xdr:row>
          <xdr:rowOff>38100</xdr:rowOff>
        </xdr:from>
        <xdr:to>
          <xdr:col>33</xdr:col>
          <xdr:colOff>342900</xdr:colOff>
          <xdr:row>19</xdr:row>
          <xdr:rowOff>266700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19</xdr:row>
          <xdr:rowOff>38100</xdr:rowOff>
        </xdr:from>
        <xdr:to>
          <xdr:col>34</xdr:col>
          <xdr:colOff>342900</xdr:colOff>
          <xdr:row>19</xdr:row>
          <xdr:rowOff>266700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19</xdr:row>
          <xdr:rowOff>38100</xdr:rowOff>
        </xdr:from>
        <xdr:to>
          <xdr:col>35</xdr:col>
          <xdr:colOff>342900</xdr:colOff>
          <xdr:row>19</xdr:row>
          <xdr:rowOff>266700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19</xdr:row>
          <xdr:rowOff>38100</xdr:rowOff>
        </xdr:from>
        <xdr:to>
          <xdr:col>36</xdr:col>
          <xdr:colOff>342900</xdr:colOff>
          <xdr:row>19</xdr:row>
          <xdr:rowOff>266700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19</xdr:row>
          <xdr:rowOff>38100</xdr:rowOff>
        </xdr:from>
        <xdr:to>
          <xdr:col>37</xdr:col>
          <xdr:colOff>342900</xdr:colOff>
          <xdr:row>19</xdr:row>
          <xdr:rowOff>266700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20</xdr:row>
          <xdr:rowOff>38100</xdr:rowOff>
        </xdr:from>
        <xdr:to>
          <xdr:col>7</xdr:col>
          <xdr:colOff>342900</xdr:colOff>
          <xdr:row>20</xdr:row>
          <xdr:rowOff>266700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20</xdr:row>
          <xdr:rowOff>38100</xdr:rowOff>
        </xdr:from>
        <xdr:to>
          <xdr:col>8</xdr:col>
          <xdr:colOff>342900</xdr:colOff>
          <xdr:row>20</xdr:row>
          <xdr:rowOff>266700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20</xdr:row>
          <xdr:rowOff>38100</xdr:rowOff>
        </xdr:from>
        <xdr:to>
          <xdr:col>9</xdr:col>
          <xdr:colOff>342900</xdr:colOff>
          <xdr:row>20</xdr:row>
          <xdr:rowOff>266700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20</xdr:row>
          <xdr:rowOff>38100</xdr:rowOff>
        </xdr:from>
        <xdr:to>
          <xdr:col>10</xdr:col>
          <xdr:colOff>342900</xdr:colOff>
          <xdr:row>20</xdr:row>
          <xdr:rowOff>266700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20</xdr:row>
          <xdr:rowOff>38100</xdr:rowOff>
        </xdr:from>
        <xdr:to>
          <xdr:col>11</xdr:col>
          <xdr:colOff>342900</xdr:colOff>
          <xdr:row>20</xdr:row>
          <xdr:rowOff>266700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20</xdr:row>
          <xdr:rowOff>38100</xdr:rowOff>
        </xdr:from>
        <xdr:to>
          <xdr:col>12</xdr:col>
          <xdr:colOff>342900</xdr:colOff>
          <xdr:row>20</xdr:row>
          <xdr:rowOff>266700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20</xdr:row>
          <xdr:rowOff>38100</xdr:rowOff>
        </xdr:from>
        <xdr:to>
          <xdr:col>13</xdr:col>
          <xdr:colOff>342900</xdr:colOff>
          <xdr:row>20</xdr:row>
          <xdr:rowOff>266700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20</xdr:row>
          <xdr:rowOff>38100</xdr:rowOff>
        </xdr:from>
        <xdr:to>
          <xdr:col>14</xdr:col>
          <xdr:colOff>342900</xdr:colOff>
          <xdr:row>20</xdr:row>
          <xdr:rowOff>266700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20</xdr:row>
          <xdr:rowOff>38100</xdr:rowOff>
        </xdr:from>
        <xdr:to>
          <xdr:col>15</xdr:col>
          <xdr:colOff>342900</xdr:colOff>
          <xdr:row>20</xdr:row>
          <xdr:rowOff>266700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20</xdr:row>
          <xdr:rowOff>38100</xdr:rowOff>
        </xdr:from>
        <xdr:to>
          <xdr:col>16</xdr:col>
          <xdr:colOff>342900</xdr:colOff>
          <xdr:row>20</xdr:row>
          <xdr:rowOff>266700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20</xdr:row>
          <xdr:rowOff>38100</xdr:rowOff>
        </xdr:from>
        <xdr:to>
          <xdr:col>17</xdr:col>
          <xdr:colOff>342900</xdr:colOff>
          <xdr:row>20</xdr:row>
          <xdr:rowOff>266700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20</xdr:row>
          <xdr:rowOff>38100</xdr:rowOff>
        </xdr:from>
        <xdr:to>
          <xdr:col>18</xdr:col>
          <xdr:colOff>342900</xdr:colOff>
          <xdr:row>20</xdr:row>
          <xdr:rowOff>266700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20</xdr:row>
          <xdr:rowOff>38100</xdr:rowOff>
        </xdr:from>
        <xdr:to>
          <xdr:col>19</xdr:col>
          <xdr:colOff>342900</xdr:colOff>
          <xdr:row>20</xdr:row>
          <xdr:rowOff>266700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20</xdr:row>
          <xdr:rowOff>38100</xdr:rowOff>
        </xdr:from>
        <xdr:to>
          <xdr:col>20</xdr:col>
          <xdr:colOff>342900</xdr:colOff>
          <xdr:row>20</xdr:row>
          <xdr:rowOff>266700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20</xdr:row>
          <xdr:rowOff>38100</xdr:rowOff>
        </xdr:from>
        <xdr:to>
          <xdr:col>21</xdr:col>
          <xdr:colOff>342900</xdr:colOff>
          <xdr:row>20</xdr:row>
          <xdr:rowOff>266700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20</xdr:row>
          <xdr:rowOff>38100</xdr:rowOff>
        </xdr:from>
        <xdr:to>
          <xdr:col>22</xdr:col>
          <xdr:colOff>342900</xdr:colOff>
          <xdr:row>20</xdr:row>
          <xdr:rowOff>266700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20</xdr:row>
          <xdr:rowOff>38100</xdr:rowOff>
        </xdr:from>
        <xdr:to>
          <xdr:col>23</xdr:col>
          <xdr:colOff>342900</xdr:colOff>
          <xdr:row>20</xdr:row>
          <xdr:rowOff>266700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20</xdr:row>
          <xdr:rowOff>38100</xdr:rowOff>
        </xdr:from>
        <xdr:to>
          <xdr:col>24</xdr:col>
          <xdr:colOff>342900</xdr:colOff>
          <xdr:row>20</xdr:row>
          <xdr:rowOff>266700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20</xdr:row>
          <xdr:rowOff>38100</xdr:rowOff>
        </xdr:from>
        <xdr:to>
          <xdr:col>25</xdr:col>
          <xdr:colOff>342900</xdr:colOff>
          <xdr:row>20</xdr:row>
          <xdr:rowOff>266700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20</xdr:row>
          <xdr:rowOff>38100</xdr:rowOff>
        </xdr:from>
        <xdr:to>
          <xdr:col>26</xdr:col>
          <xdr:colOff>342900</xdr:colOff>
          <xdr:row>20</xdr:row>
          <xdr:rowOff>266700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20</xdr:row>
          <xdr:rowOff>38100</xdr:rowOff>
        </xdr:from>
        <xdr:to>
          <xdr:col>27</xdr:col>
          <xdr:colOff>342900</xdr:colOff>
          <xdr:row>20</xdr:row>
          <xdr:rowOff>266700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20</xdr:row>
          <xdr:rowOff>38100</xdr:rowOff>
        </xdr:from>
        <xdr:to>
          <xdr:col>28</xdr:col>
          <xdr:colOff>342900</xdr:colOff>
          <xdr:row>20</xdr:row>
          <xdr:rowOff>266700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20</xdr:row>
          <xdr:rowOff>38100</xdr:rowOff>
        </xdr:from>
        <xdr:to>
          <xdr:col>29</xdr:col>
          <xdr:colOff>342900</xdr:colOff>
          <xdr:row>20</xdr:row>
          <xdr:rowOff>266700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20</xdr:row>
          <xdr:rowOff>38100</xdr:rowOff>
        </xdr:from>
        <xdr:to>
          <xdr:col>30</xdr:col>
          <xdr:colOff>342900</xdr:colOff>
          <xdr:row>20</xdr:row>
          <xdr:rowOff>266700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20</xdr:row>
          <xdr:rowOff>38100</xdr:rowOff>
        </xdr:from>
        <xdr:to>
          <xdr:col>31</xdr:col>
          <xdr:colOff>342900</xdr:colOff>
          <xdr:row>20</xdr:row>
          <xdr:rowOff>266700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20</xdr:row>
          <xdr:rowOff>38100</xdr:rowOff>
        </xdr:from>
        <xdr:to>
          <xdr:col>32</xdr:col>
          <xdr:colOff>342900</xdr:colOff>
          <xdr:row>20</xdr:row>
          <xdr:rowOff>266700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20</xdr:row>
          <xdr:rowOff>38100</xdr:rowOff>
        </xdr:from>
        <xdr:to>
          <xdr:col>33</xdr:col>
          <xdr:colOff>342900</xdr:colOff>
          <xdr:row>20</xdr:row>
          <xdr:rowOff>266700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20</xdr:row>
          <xdr:rowOff>38100</xdr:rowOff>
        </xdr:from>
        <xdr:to>
          <xdr:col>34</xdr:col>
          <xdr:colOff>342900</xdr:colOff>
          <xdr:row>20</xdr:row>
          <xdr:rowOff>266700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20</xdr:row>
          <xdr:rowOff>38100</xdr:rowOff>
        </xdr:from>
        <xdr:to>
          <xdr:col>35</xdr:col>
          <xdr:colOff>342900</xdr:colOff>
          <xdr:row>20</xdr:row>
          <xdr:rowOff>266700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20</xdr:row>
          <xdr:rowOff>38100</xdr:rowOff>
        </xdr:from>
        <xdr:to>
          <xdr:col>36</xdr:col>
          <xdr:colOff>342900</xdr:colOff>
          <xdr:row>20</xdr:row>
          <xdr:rowOff>266700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20</xdr:row>
          <xdr:rowOff>38100</xdr:rowOff>
        </xdr:from>
        <xdr:to>
          <xdr:col>37</xdr:col>
          <xdr:colOff>342900</xdr:colOff>
          <xdr:row>20</xdr:row>
          <xdr:rowOff>266700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21</xdr:row>
          <xdr:rowOff>38100</xdr:rowOff>
        </xdr:from>
        <xdr:to>
          <xdr:col>7</xdr:col>
          <xdr:colOff>342900</xdr:colOff>
          <xdr:row>21</xdr:row>
          <xdr:rowOff>266700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21</xdr:row>
          <xdr:rowOff>38100</xdr:rowOff>
        </xdr:from>
        <xdr:to>
          <xdr:col>8</xdr:col>
          <xdr:colOff>342900</xdr:colOff>
          <xdr:row>21</xdr:row>
          <xdr:rowOff>266700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21</xdr:row>
          <xdr:rowOff>38100</xdr:rowOff>
        </xdr:from>
        <xdr:to>
          <xdr:col>9</xdr:col>
          <xdr:colOff>342900</xdr:colOff>
          <xdr:row>21</xdr:row>
          <xdr:rowOff>266700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21</xdr:row>
          <xdr:rowOff>38100</xdr:rowOff>
        </xdr:from>
        <xdr:to>
          <xdr:col>10</xdr:col>
          <xdr:colOff>342900</xdr:colOff>
          <xdr:row>21</xdr:row>
          <xdr:rowOff>266700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21</xdr:row>
          <xdr:rowOff>38100</xdr:rowOff>
        </xdr:from>
        <xdr:to>
          <xdr:col>11</xdr:col>
          <xdr:colOff>342900</xdr:colOff>
          <xdr:row>21</xdr:row>
          <xdr:rowOff>266700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21</xdr:row>
          <xdr:rowOff>38100</xdr:rowOff>
        </xdr:from>
        <xdr:to>
          <xdr:col>12</xdr:col>
          <xdr:colOff>342900</xdr:colOff>
          <xdr:row>21</xdr:row>
          <xdr:rowOff>266700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21</xdr:row>
          <xdr:rowOff>38100</xdr:rowOff>
        </xdr:from>
        <xdr:to>
          <xdr:col>13</xdr:col>
          <xdr:colOff>342900</xdr:colOff>
          <xdr:row>21</xdr:row>
          <xdr:rowOff>266700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21</xdr:row>
          <xdr:rowOff>38100</xdr:rowOff>
        </xdr:from>
        <xdr:to>
          <xdr:col>14</xdr:col>
          <xdr:colOff>342900</xdr:colOff>
          <xdr:row>21</xdr:row>
          <xdr:rowOff>266700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21</xdr:row>
          <xdr:rowOff>38100</xdr:rowOff>
        </xdr:from>
        <xdr:to>
          <xdr:col>15</xdr:col>
          <xdr:colOff>342900</xdr:colOff>
          <xdr:row>21</xdr:row>
          <xdr:rowOff>266700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21</xdr:row>
          <xdr:rowOff>38100</xdr:rowOff>
        </xdr:from>
        <xdr:to>
          <xdr:col>16</xdr:col>
          <xdr:colOff>342900</xdr:colOff>
          <xdr:row>21</xdr:row>
          <xdr:rowOff>266700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21</xdr:row>
          <xdr:rowOff>38100</xdr:rowOff>
        </xdr:from>
        <xdr:to>
          <xdr:col>17</xdr:col>
          <xdr:colOff>342900</xdr:colOff>
          <xdr:row>21</xdr:row>
          <xdr:rowOff>266700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21</xdr:row>
          <xdr:rowOff>38100</xdr:rowOff>
        </xdr:from>
        <xdr:to>
          <xdr:col>18</xdr:col>
          <xdr:colOff>342900</xdr:colOff>
          <xdr:row>21</xdr:row>
          <xdr:rowOff>266700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21</xdr:row>
          <xdr:rowOff>38100</xdr:rowOff>
        </xdr:from>
        <xdr:to>
          <xdr:col>19</xdr:col>
          <xdr:colOff>342900</xdr:colOff>
          <xdr:row>21</xdr:row>
          <xdr:rowOff>266700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21</xdr:row>
          <xdr:rowOff>38100</xdr:rowOff>
        </xdr:from>
        <xdr:to>
          <xdr:col>20</xdr:col>
          <xdr:colOff>342900</xdr:colOff>
          <xdr:row>21</xdr:row>
          <xdr:rowOff>266700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21</xdr:row>
          <xdr:rowOff>38100</xdr:rowOff>
        </xdr:from>
        <xdr:to>
          <xdr:col>21</xdr:col>
          <xdr:colOff>342900</xdr:colOff>
          <xdr:row>21</xdr:row>
          <xdr:rowOff>266700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21</xdr:row>
          <xdr:rowOff>38100</xdr:rowOff>
        </xdr:from>
        <xdr:to>
          <xdr:col>22</xdr:col>
          <xdr:colOff>342900</xdr:colOff>
          <xdr:row>21</xdr:row>
          <xdr:rowOff>266700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21</xdr:row>
          <xdr:rowOff>38100</xdr:rowOff>
        </xdr:from>
        <xdr:to>
          <xdr:col>23</xdr:col>
          <xdr:colOff>342900</xdr:colOff>
          <xdr:row>21</xdr:row>
          <xdr:rowOff>266700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21</xdr:row>
          <xdr:rowOff>38100</xdr:rowOff>
        </xdr:from>
        <xdr:to>
          <xdr:col>24</xdr:col>
          <xdr:colOff>342900</xdr:colOff>
          <xdr:row>21</xdr:row>
          <xdr:rowOff>266700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21</xdr:row>
          <xdr:rowOff>38100</xdr:rowOff>
        </xdr:from>
        <xdr:to>
          <xdr:col>25</xdr:col>
          <xdr:colOff>342900</xdr:colOff>
          <xdr:row>21</xdr:row>
          <xdr:rowOff>266700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21</xdr:row>
          <xdr:rowOff>38100</xdr:rowOff>
        </xdr:from>
        <xdr:to>
          <xdr:col>26</xdr:col>
          <xdr:colOff>342900</xdr:colOff>
          <xdr:row>21</xdr:row>
          <xdr:rowOff>266700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21</xdr:row>
          <xdr:rowOff>38100</xdr:rowOff>
        </xdr:from>
        <xdr:to>
          <xdr:col>27</xdr:col>
          <xdr:colOff>342900</xdr:colOff>
          <xdr:row>21</xdr:row>
          <xdr:rowOff>266700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21</xdr:row>
          <xdr:rowOff>38100</xdr:rowOff>
        </xdr:from>
        <xdr:to>
          <xdr:col>28</xdr:col>
          <xdr:colOff>342900</xdr:colOff>
          <xdr:row>21</xdr:row>
          <xdr:rowOff>266700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21</xdr:row>
          <xdr:rowOff>38100</xdr:rowOff>
        </xdr:from>
        <xdr:to>
          <xdr:col>29</xdr:col>
          <xdr:colOff>342900</xdr:colOff>
          <xdr:row>21</xdr:row>
          <xdr:rowOff>266700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21</xdr:row>
          <xdr:rowOff>38100</xdr:rowOff>
        </xdr:from>
        <xdr:to>
          <xdr:col>30</xdr:col>
          <xdr:colOff>342900</xdr:colOff>
          <xdr:row>21</xdr:row>
          <xdr:rowOff>266700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21</xdr:row>
          <xdr:rowOff>38100</xdr:rowOff>
        </xdr:from>
        <xdr:to>
          <xdr:col>31</xdr:col>
          <xdr:colOff>342900</xdr:colOff>
          <xdr:row>21</xdr:row>
          <xdr:rowOff>266700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21</xdr:row>
          <xdr:rowOff>38100</xdr:rowOff>
        </xdr:from>
        <xdr:to>
          <xdr:col>32</xdr:col>
          <xdr:colOff>342900</xdr:colOff>
          <xdr:row>21</xdr:row>
          <xdr:rowOff>266700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21</xdr:row>
          <xdr:rowOff>38100</xdr:rowOff>
        </xdr:from>
        <xdr:to>
          <xdr:col>33</xdr:col>
          <xdr:colOff>342900</xdr:colOff>
          <xdr:row>21</xdr:row>
          <xdr:rowOff>266700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21</xdr:row>
          <xdr:rowOff>38100</xdr:rowOff>
        </xdr:from>
        <xdr:to>
          <xdr:col>34</xdr:col>
          <xdr:colOff>342900</xdr:colOff>
          <xdr:row>21</xdr:row>
          <xdr:rowOff>266700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21</xdr:row>
          <xdr:rowOff>38100</xdr:rowOff>
        </xdr:from>
        <xdr:to>
          <xdr:col>35</xdr:col>
          <xdr:colOff>342900</xdr:colOff>
          <xdr:row>21</xdr:row>
          <xdr:rowOff>266700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21</xdr:row>
          <xdr:rowOff>38100</xdr:rowOff>
        </xdr:from>
        <xdr:to>
          <xdr:col>36</xdr:col>
          <xdr:colOff>342900</xdr:colOff>
          <xdr:row>21</xdr:row>
          <xdr:rowOff>266700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21</xdr:row>
          <xdr:rowOff>38100</xdr:rowOff>
        </xdr:from>
        <xdr:to>
          <xdr:col>37</xdr:col>
          <xdr:colOff>342900</xdr:colOff>
          <xdr:row>21</xdr:row>
          <xdr:rowOff>266700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22</xdr:row>
          <xdr:rowOff>38100</xdr:rowOff>
        </xdr:from>
        <xdr:to>
          <xdr:col>7</xdr:col>
          <xdr:colOff>342900</xdr:colOff>
          <xdr:row>22</xdr:row>
          <xdr:rowOff>266700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22</xdr:row>
          <xdr:rowOff>38100</xdr:rowOff>
        </xdr:from>
        <xdr:to>
          <xdr:col>8</xdr:col>
          <xdr:colOff>342900</xdr:colOff>
          <xdr:row>22</xdr:row>
          <xdr:rowOff>266700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22</xdr:row>
          <xdr:rowOff>38100</xdr:rowOff>
        </xdr:from>
        <xdr:to>
          <xdr:col>9</xdr:col>
          <xdr:colOff>342900</xdr:colOff>
          <xdr:row>22</xdr:row>
          <xdr:rowOff>266700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22</xdr:row>
          <xdr:rowOff>38100</xdr:rowOff>
        </xdr:from>
        <xdr:to>
          <xdr:col>10</xdr:col>
          <xdr:colOff>342900</xdr:colOff>
          <xdr:row>22</xdr:row>
          <xdr:rowOff>266700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22</xdr:row>
          <xdr:rowOff>38100</xdr:rowOff>
        </xdr:from>
        <xdr:to>
          <xdr:col>11</xdr:col>
          <xdr:colOff>342900</xdr:colOff>
          <xdr:row>22</xdr:row>
          <xdr:rowOff>266700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22</xdr:row>
          <xdr:rowOff>38100</xdr:rowOff>
        </xdr:from>
        <xdr:to>
          <xdr:col>12</xdr:col>
          <xdr:colOff>342900</xdr:colOff>
          <xdr:row>22</xdr:row>
          <xdr:rowOff>266700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22</xdr:row>
          <xdr:rowOff>38100</xdr:rowOff>
        </xdr:from>
        <xdr:to>
          <xdr:col>13</xdr:col>
          <xdr:colOff>342900</xdr:colOff>
          <xdr:row>22</xdr:row>
          <xdr:rowOff>266700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22</xdr:row>
          <xdr:rowOff>38100</xdr:rowOff>
        </xdr:from>
        <xdr:to>
          <xdr:col>14</xdr:col>
          <xdr:colOff>342900</xdr:colOff>
          <xdr:row>22</xdr:row>
          <xdr:rowOff>266700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22</xdr:row>
          <xdr:rowOff>38100</xdr:rowOff>
        </xdr:from>
        <xdr:to>
          <xdr:col>15</xdr:col>
          <xdr:colOff>342900</xdr:colOff>
          <xdr:row>22</xdr:row>
          <xdr:rowOff>266700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22</xdr:row>
          <xdr:rowOff>38100</xdr:rowOff>
        </xdr:from>
        <xdr:to>
          <xdr:col>16</xdr:col>
          <xdr:colOff>342900</xdr:colOff>
          <xdr:row>22</xdr:row>
          <xdr:rowOff>266700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22</xdr:row>
          <xdr:rowOff>38100</xdr:rowOff>
        </xdr:from>
        <xdr:to>
          <xdr:col>17</xdr:col>
          <xdr:colOff>342900</xdr:colOff>
          <xdr:row>22</xdr:row>
          <xdr:rowOff>266700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22</xdr:row>
          <xdr:rowOff>38100</xdr:rowOff>
        </xdr:from>
        <xdr:to>
          <xdr:col>18</xdr:col>
          <xdr:colOff>342900</xdr:colOff>
          <xdr:row>22</xdr:row>
          <xdr:rowOff>266700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22</xdr:row>
          <xdr:rowOff>38100</xdr:rowOff>
        </xdr:from>
        <xdr:to>
          <xdr:col>19</xdr:col>
          <xdr:colOff>342900</xdr:colOff>
          <xdr:row>22</xdr:row>
          <xdr:rowOff>266700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22</xdr:row>
          <xdr:rowOff>38100</xdr:rowOff>
        </xdr:from>
        <xdr:to>
          <xdr:col>20</xdr:col>
          <xdr:colOff>342900</xdr:colOff>
          <xdr:row>22</xdr:row>
          <xdr:rowOff>266700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22</xdr:row>
          <xdr:rowOff>38100</xdr:rowOff>
        </xdr:from>
        <xdr:to>
          <xdr:col>21</xdr:col>
          <xdr:colOff>342900</xdr:colOff>
          <xdr:row>22</xdr:row>
          <xdr:rowOff>266700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22</xdr:row>
          <xdr:rowOff>38100</xdr:rowOff>
        </xdr:from>
        <xdr:to>
          <xdr:col>22</xdr:col>
          <xdr:colOff>342900</xdr:colOff>
          <xdr:row>22</xdr:row>
          <xdr:rowOff>266700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22</xdr:row>
          <xdr:rowOff>38100</xdr:rowOff>
        </xdr:from>
        <xdr:to>
          <xdr:col>23</xdr:col>
          <xdr:colOff>342900</xdr:colOff>
          <xdr:row>22</xdr:row>
          <xdr:rowOff>266700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22</xdr:row>
          <xdr:rowOff>38100</xdr:rowOff>
        </xdr:from>
        <xdr:to>
          <xdr:col>24</xdr:col>
          <xdr:colOff>342900</xdr:colOff>
          <xdr:row>22</xdr:row>
          <xdr:rowOff>266700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22</xdr:row>
          <xdr:rowOff>38100</xdr:rowOff>
        </xdr:from>
        <xdr:to>
          <xdr:col>25</xdr:col>
          <xdr:colOff>342900</xdr:colOff>
          <xdr:row>22</xdr:row>
          <xdr:rowOff>266700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22</xdr:row>
          <xdr:rowOff>38100</xdr:rowOff>
        </xdr:from>
        <xdr:to>
          <xdr:col>26</xdr:col>
          <xdr:colOff>342900</xdr:colOff>
          <xdr:row>22</xdr:row>
          <xdr:rowOff>266700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22</xdr:row>
          <xdr:rowOff>38100</xdr:rowOff>
        </xdr:from>
        <xdr:to>
          <xdr:col>27</xdr:col>
          <xdr:colOff>342900</xdr:colOff>
          <xdr:row>22</xdr:row>
          <xdr:rowOff>266700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22</xdr:row>
          <xdr:rowOff>38100</xdr:rowOff>
        </xdr:from>
        <xdr:to>
          <xdr:col>28</xdr:col>
          <xdr:colOff>342900</xdr:colOff>
          <xdr:row>22</xdr:row>
          <xdr:rowOff>266700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22</xdr:row>
          <xdr:rowOff>38100</xdr:rowOff>
        </xdr:from>
        <xdr:to>
          <xdr:col>29</xdr:col>
          <xdr:colOff>342900</xdr:colOff>
          <xdr:row>22</xdr:row>
          <xdr:rowOff>266700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22</xdr:row>
          <xdr:rowOff>38100</xdr:rowOff>
        </xdr:from>
        <xdr:to>
          <xdr:col>30</xdr:col>
          <xdr:colOff>342900</xdr:colOff>
          <xdr:row>22</xdr:row>
          <xdr:rowOff>266700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22</xdr:row>
          <xdr:rowOff>38100</xdr:rowOff>
        </xdr:from>
        <xdr:to>
          <xdr:col>31</xdr:col>
          <xdr:colOff>342900</xdr:colOff>
          <xdr:row>22</xdr:row>
          <xdr:rowOff>266700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22</xdr:row>
          <xdr:rowOff>38100</xdr:rowOff>
        </xdr:from>
        <xdr:to>
          <xdr:col>32</xdr:col>
          <xdr:colOff>342900</xdr:colOff>
          <xdr:row>22</xdr:row>
          <xdr:rowOff>266700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22</xdr:row>
          <xdr:rowOff>38100</xdr:rowOff>
        </xdr:from>
        <xdr:to>
          <xdr:col>33</xdr:col>
          <xdr:colOff>342900</xdr:colOff>
          <xdr:row>22</xdr:row>
          <xdr:rowOff>266700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22</xdr:row>
          <xdr:rowOff>38100</xdr:rowOff>
        </xdr:from>
        <xdr:to>
          <xdr:col>34</xdr:col>
          <xdr:colOff>342900</xdr:colOff>
          <xdr:row>22</xdr:row>
          <xdr:rowOff>266700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22</xdr:row>
          <xdr:rowOff>38100</xdr:rowOff>
        </xdr:from>
        <xdr:to>
          <xdr:col>35</xdr:col>
          <xdr:colOff>342900</xdr:colOff>
          <xdr:row>22</xdr:row>
          <xdr:rowOff>266700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22</xdr:row>
          <xdr:rowOff>38100</xdr:rowOff>
        </xdr:from>
        <xdr:to>
          <xdr:col>36</xdr:col>
          <xdr:colOff>342900</xdr:colOff>
          <xdr:row>22</xdr:row>
          <xdr:rowOff>266700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22</xdr:row>
          <xdr:rowOff>38100</xdr:rowOff>
        </xdr:from>
        <xdr:to>
          <xdr:col>37</xdr:col>
          <xdr:colOff>342900</xdr:colOff>
          <xdr:row>22</xdr:row>
          <xdr:rowOff>266700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23</xdr:row>
          <xdr:rowOff>38100</xdr:rowOff>
        </xdr:from>
        <xdr:to>
          <xdr:col>7</xdr:col>
          <xdr:colOff>342900</xdr:colOff>
          <xdr:row>23</xdr:row>
          <xdr:rowOff>266700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23</xdr:row>
          <xdr:rowOff>38100</xdr:rowOff>
        </xdr:from>
        <xdr:to>
          <xdr:col>8</xdr:col>
          <xdr:colOff>342900</xdr:colOff>
          <xdr:row>23</xdr:row>
          <xdr:rowOff>266700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23</xdr:row>
          <xdr:rowOff>38100</xdr:rowOff>
        </xdr:from>
        <xdr:to>
          <xdr:col>9</xdr:col>
          <xdr:colOff>342900</xdr:colOff>
          <xdr:row>23</xdr:row>
          <xdr:rowOff>266700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23</xdr:row>
          <xdr:rowOff>38100</xdr:rowOff>
        </xdr:from>
        <xdr:to>
          <xdr:col>10</xdr:col>
          <xdr:colOff>342900</xdr:colOff>
          <xdr:row>23</xdr:row>
          <xdr:rowOff>266700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23</xdr:row>
          <xdr:rowOff>38100</xdr:rowOff>
        </xdr:from>
        <xdr:to>
          <xdr:col>11</xdr:col>
          <xdr:colOff>342900</xdr:colOff>
          <xdr:row>23</xdr:row>
          <xdr:rowOff>266700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23</xdr:row>
          <xdr:rowOff>38100</xdr:rowOff>
        </xdr:from>
        <xdr:to>
          <xdr:col>12</xdr:col>
          <xdr:colOff>342900</xdr:colOff>
          <xdr:row>23</xdr:row>
          <xdr:rowOff>266700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23</xdr:row>
          <xdr:rowOff>38100</xdr:rowOff>
        </xdr:from>
        <xdr:to>
          <xdr:col>13</xdr:col>
          <xdr:colOff>342900</xdr:colOff>
          <xdr:row>23</xdr:row>
          <xdr:rowOff>266700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23</xdr:row>
          <xdr:rowOff>38100</xdr:rowOff>
        </xdr:from>
        <xdr:to>
          <xdr:col>14</xdr:col>
          <xdr:colOff>342900</xdr:colOff>
          <xdr:row>23</xdr:row>
          <xdr:rowOff>266700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23</xdr:row>
          <xdr:rowOff>38100</xdr:rowOff>
        </xdr:from>
        <xdr:to>
          <xdr:col>15</xdr:col>
          <xdr:colOff>342900</xdr:colOff>
          <xdr:row>23</xdr:row>
          <xdr:rowOff>266700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23</xdr:row>
          <xdr:rowOff>38100</xdr:rowOff>
        </xdr:from>
        <xdr:to>
          <xdr:col>16</xdr:col>
          <xdr:colOff>342900</xdr:colOff>
          <xdr:row>23</xdr:row>
          <xdr:rowOff>266700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23</xdr:row>
          <xdr:rowOff>38100</xdr:rowOff>
        </xdr:from>
        <xdr:to>
          <xdr:col>17</xdr:col>
          <xdr:colOff>342900</xdr:colOff>
          <xdr:row>23</xdr:row>
          <xdr:rowOff>266700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23</xdr:row>
          <xdr:rowOff>38100</xdr:rowOff>
        </xdr:from>
        <xdr:to>
          <xdr:col>18</xdr:col>
          <xdr:colOff>342900</xdr:colOff>
          <xdr:row>23</xdr:row>
          <xdr:rowOff>266700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23</xdr:row>
          <xdr:rowOff>38100</xdr:rowOff>
        </xdr:from>
        <xdr:to>
          <xdr:col>19</xdr:col>
          <xdr:colOff>342900</xdr:colOff>
          <xdr:row>23</xdr:row>
          <xdr:rowOff>266700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23</xdr:row>
          <xdr:rowOff>38100</xdr:rowOff>
        </xdr:from>
        <xdr:to>
          <xdr:col>20</xdr:col>
          <xdr:colOff>342900</xdr:colOff>
          <xdr:row>23</xdr:row>
          <xdr:rowOff>266700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23</xdr:row>
          <xdr:rowOff>38100</xdr:rowOff>
        </xdr:from>
        <xdr:to>
          <xdr:col>21</xdr:col>
          <xdr:colOff>342900</xdr:colOff>
          <xdr:row>23</xdr:row>
          <xdr:rowOff>266700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23</xdr:row>
          <xdr:rowOff>38100</xdr:rowOff>
        </xdr:from>
        <xdr:to>
          <xdr:col>22</xdr:col>
          <xdr:colOff>342900</xdr:colOff>
          <xdr:row>23</xdr:row>
          <xdr:rowOff>266700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23</xdr:row>
          <xdr:rowOff>38100</xdr:rowOff>
        </xdr:from>
        <xdr:to>
          <xdr:col>23</xdr:col>
          <xdr:colOff>342900</xdr:colOff>
          <xdr:row>23</xdr:row>
          <xdr:rowOff>266700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23</xdr:row>
          <xdr:rowOff>38100</xdr:rowOff>
        </xdr:from>
        <xdr:to>
          <xdr:col>24</xdr:col>
          <xdr:colOff>342900</xdr:colOff>
          <xdr:row>23</xdr:row>
          <xdr:rowOff>266700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23</xdr:row>
          <xdr:rowOff>38100</xdr:rowOff>
        </xdr:from>
        <xdr:to>
          <xdr:col>25</xdr:col>
          <xdr:colOff>342900</xdr:colOff>
          <xdr:row>23</xdr:row>
          <xdr:rowOff>266700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23</xdr:row>
          <xdr:rowOff>38100</xdr:rowOff>
        </xdr:from>
        <xdr:to>
          <xdr:col>26</xdr:col>
          <xdr:colOff>342900</xdr:colOff>
          <xdr:row>23</xdr:row>
          <xdr:rowOff>266700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23</xdr:row>
          <xdr:rowOff>38100</xdr:rowOff>
        </xdr:from>
        <xdr:to>
          <xdr:col>27</xdr:col>
          <xdr:colOff>342900</xdr:colOff>
          <xdr:row>23</xdr:row>
          <xdr:rowOff>266700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23</xdr:row>
          <xdr:rowOff>38100</xdr:rowOff>
        </xdr:from>
        <xdr:to>
          <xdr:col>28</xdr:col>
          <xdr:colOff>342900</xdr:colOff>
          <xdr:row>23</xdr:row>
          <xdr:rowOff>266700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23</xdr:row>
          <xdr:rowOff>38100</xdr:rowOff>
        </xdr:from>
        <xdr:to>
          <xdr:col>29</xdr:col>
          <xdr:colOff>342900</xdr:colOff>
          <xdr:row>23</xdr:row>
          <xdr:rowOff>266700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23</xdr:row>
          <xdr:rowOff>38100</xdr:rowOff>
        </xdr:from>
        <xdr:to>
          <xdr:col>30</xdr:col>
          <xdr:colOff>342900</xdr:colOff>
          <xdr:row>23</xdr:row>
          <xdr:rowOff>266700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23</xdr:row>
          <xdr:rowOff>38100</xdr:rowOff>
        </xdr:from>
        <xdr:to>
          <xdr:col>31</xdr:col>
          <xdr:colOff>342900</xdr:colOff>
          <xdr:row>23</xdr:row>
          <xdr:rowOff>266700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23</xdr:row>
          <xdr:rowOff>38100</xdr:rowOff>
        </xdr:from>
        <xdr:to>
          <xdr:col>32</xdr:col>
          <xdr:colOff>342900</xdr:colOff>
          <xdr:row>23</xdr:row>
          <xdr:rowOff>266700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23</xdr:row>
          <xdr:rowOff>38100</xdr:rowOff>
        </xdr:from>
        <xdr:to>
          <xdr:col>33</xdr:col>
          <xdr:colOff>342900</xdr:colOff>
          <xdr:row>23</xdr:row>
          <xdr:rowOff>266700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23</xdr:row>
          <xdr:rowOff>38100</xdr:rowOff>
        </xdr:from>
        <xdr:to>
          <xdr:col>34</xdr:col>
          <xdr:colOff>342900</xdr:colOff>
          <xdr:row>23</xdr:row>
          <xdr:rowOff>266700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23</xdr:row>
          <xdr:rowOff>38100</xdr:rowOff>
        </xdr:from>
        <xdr:to>
          <xdr:col>35</xdr:col>
          <xdr:colOff>342900</xdr:colOff>
          <xdr:row>23</xdr:row>
          <xdr:rowOff>266700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23</xdr:row>
          <xdr:rowOff>38100</xdr:rowOff>
        </xdr:from>
        <xdr:to>
          <xdr:col>36</xdr:col>
          <xdr:colOff>342900</xdr:colOff>
          <xdr:row>23</xdr:row>
          <xdr:rowOff>266700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23</xdr:row>
          <xdr:rowOff>38100</xdr:rowOff>
        </xdr:from>
        <xdr:to>
          <xdr:col>37</xdr:col>
          <xdr:colOff>342900</xdr:colOff>
          <xdr:row>23</xdr:row>
          <xdr:rowOff>266700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24</xdr:row>
          <xdr:rowOff>38100</xdr:rowOff>
        </xdr:from>
        <xdr:to>
          <xdr:col>7</xdr:col>
          <xdr:colOff>342900</xdr:colOff>
          <xdr:row>24</xdr:row>
          <xdr:rowOff>266700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24</xdr:row>
          <xdr:rowOff>38100</xdr:rowOff>
        </xdr:from>
        <xdr:to>
          <xdr:col>8</xdr:col>
          <xdr:colOff>342900</xdr:colOff>
          <xdr:row>24</xdr:row>
          <xdr:rowOff>266700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24</xdr:row>
          <xdr:rowOff>38100</xdr:rowOff>
        </xdr:from>
        <xdr:to>
          <xdr:col>9</xdr:col>
          <xdr:colOff>342900</xdr:colOff>
          <xdr:row>24</xdr:row>
          <xdr:rowOff>266700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24</xdr:row>
          <xdr:rowOff>38100</xdr:rowOff>
        </xdr:from>
        <xdr:to>
          <xdr:col>10</xdr:col>
          <xdr:colOff>342900</xdr:colOff>
          <xdr:row>24</xdr:row>
          <xdr:rowOff>266700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24</xdr:row>
          <xdr:rowOff>38100</xdr:rowOff>
        </xdr:from>
        <xdr:to>
          <xdr:col>11</xdr:col>
          <xdr:colOff>342900</xdr:colOff>
          <xdr:row>24</xdr:row>
          <xdr:rowOff>266700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24</xdr:row>
          <xdr:rowOff>38100</xdr:rowOff>
        </xdr:from>
        <xdr:to>
          <xdr:col>12</xdr:col>
          <xdr:colOff>342900</xdr:colOff>
          <xdr:row>24</xdr:row>
          <xdr:rowOff>266700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24</xdr:row>
          <xdr:rowOff>38100</xdr:rowOff>
        </xdr:from>
        <xdr:to>
          <xdr:col>13</xdr:col>
          <xdr:colOff>342900</xdr:colOff>
          <xdr:row>24</xdr:row>
          <xdr:rowOff>266700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24</xdr:row>
          <xdr:rowOff>38100</xdr:rowOff>
        </xdr:from>
        <xdr:to>
          <xdr:col>14</xdr:col>
          <xdr:colOff>342900</xdr:colOff>
          <xdr:row>24</xdr:row>
          <xdr:rowOff>266700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24</xdr:row>
          <xdr:rowOff>38100</xdr:rowOff>
        </xdr:from>
        <xdr:to>
          <xdr:col>15</xdr:col>
          <xdr:colOff>342900</xdr:colOff>
          <xdr:row>24</xdr:row>
          <xdr:rowOff>266700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24</xdr:row>
          <xdr:rowOff>38100</xdr:rowOff>
        </xdr:from>
        <xdr:to>
          <xdr:col>16</xdr:col>
          <xdr:colOff>342900</xdr:colOff>
          <xdr:row>24</xdr:row>
          <xdr:rowOff>266700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24</xdr:row>
          <xdr:rowOff>38100</xdr:rowOff>
        </xdr:from>
        <xdr:to>
          <xdr:col>17</xdr:col>
          <xdr:colOff>342900</xdr:colOff>
          <xdr:row>24</xdr:row>
          <xdr:rowOff>266700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24</xdr:row>
          <xdr:rowOff>38100</xdr:rowOff>
        </xdr:from>
        <xdr:to>
          <xdr:col>18</xdr:col>
          <xdr:colOff>342900</xdr:colOff>
          <xdr:row>24</xdr:row>
          <xdr:rowOff>266700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24</xdr:row>
          <xdr:rowOff>38100</xdr:rowOff>
        </xdr:from>
        <xdr:to>
          <xdr:col>19</xdr:col>
          <xdr:colOff>342900</xdr:colOff>
          <xdr:row>24</xdr:row>
          <xdr:rowOff>266700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24</xdr:row>
          <xdr:rowOff>38100</xdr:rowOff>
        </xdr:from>
        <xdr:to>
          <xdr:col>20</xdr:col>
          <xdr:colOff>342900</xdr:colOff>
          <xdr:row>24</xdr:row>
          <xdr:rowOff>266700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24</xdr:row>
          <xdr:rowOff>38100</xdr:rowOff>
        </xdr:from>
        <xdr:to>
          <xdr:col>21</xdr:col>
          <xdr:colOff>342900</xdr:colOff>
          <xdr:row>24</xdr:row>
          <xdr:rowOff>266700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24</xdr:row>
          <xdr:rowOff>38100</xdr:rowOff>
        </xdr:from>
        <xdr:to>
          <xdr:col>22</xdr:col>
          <xdr:colOff>342900</xdr:colOff>
          <xdr:row>24</xdr:row>
          <xdr:rowOff>266700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24</xdr:row>
          <xdr:rowOff>38100</xdr:rowOff>
        </xdr:from>
        <xdr:to>
          <xdr:col>23</xdr:col>
          <xdr:colOff>342900</xdr:colOff>
          <xdr:row>24</xdr:row>
          <xdr:rowOff>266700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24</xdr:row>
          <xdr:rowOff>38100</xdr:rowOff>
        </xdr:from>
        <xdr:to>
          <xdr:col>24</xdr:col>
          <xdr:colOff>342900</xdr:colOff>
          <xdr:row>24</xdr:row>
          <xdr:rowOff>266700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24</xdr:row>
          <xdr:rowOff>38100</xdr:rowOff>
        </xdr:from>
        <xdr:to>
          <xdr:col>25</xdr:col>
          <xdr:colOff>342900</xdr:colOff>
          <xdr:row>24</xdr:row>
          <xdr:rowOff>266700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24</xdr:row>
          <xdr:rowOff>38100</xdr:rowOff>
        </xdr:from>
        <xdr:to>
          <xdr:col>26</xdr:col>
          <xdr:colOff>342900</xdr:colOff>
          <xdr:row>24</xdr:row>
          <xdr:rowOff>266700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24</xdr:row>
          <xdr:rowOff>38100</xdr:rowOff>
        </xdr:from>
        <xdr:to>
          <xdr:col>27</xdr:col>
          <xdr:colOff>342900</xdr:colOff>
          <xdr:row>24</xdr:row>
          <xdr:rowOff>266700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24</xdr:row>
          <xdr:rowOff>38100</xdr:rowOff>
        </xdr:from>
        <xdr:to>
          <xdr:col>28</xdr:col>
          <xdr:colOff>342900</xdr:colOff>
          <xdr:row>24</xdr:row>
          <xdr:rowOff>266700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24</xdr:row>
          <xdr:rowOff>38100</xdr:rowOff>
        </xdr:from>
        <xdr:to>
          <xdr:col>29</xdr:col>
          <xdr:colOff>342900</xdr:colOff>
          <xdr:row>24</xdr:row>
          <xdr:rowOff>266700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24</xdr:row>
          <xdr:rowOff>38100</xdr:rowOff>
        </xdr:from>
        <xdr:to>
          <xdr:col>30</xdr:col>
          <xdr:colOff>342900</xdr:colOff>
          <xdr:row>24</xdr:row>
          <xdr:rowOff>266700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24</xdr:row>
          <xdr:rowOff>38100</xdr:rowOff>
        </xdr:from>
        <xdr:to>
          <xdr:col>31</xdr:col>
          <xdr:colOff>342900</xdr:colOff>
          <xdr:row>24</xdr:row>
          <xdr:rowOff>266700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24</xdr:row>
          <xdr:rowOff>38100</xdr:rowOff>
        </xdr:from>
        <xdr:to>
          <xdr:col>32</xdr:col>
          <xdr:colOff>342900</xdr:colOff>
          <xdr:row>24</xdr:row>
          <xdr:rowOff>266700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24</xdr:row>
          <xdr:rowOff>38100</xdr:rowOff>
        </xdr:from>
        <xdr:to>
          <xdr:col>33</xdr:col>
          <xdr:colOff>342900</xdr:colOff>
          <xdr:row>24</xdr:row>
          <xdr:rowOff>266700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24</xdr:row>
          <xdr:rowOff>38100</xdr:rowOff>
        </xdr:from>
        <xdr:to>
          <xdr:col>34</xdr:col>
          <xdr:colOff>342900</xdr:colOff>
          <xdr:row>24</xdr:row>
          <xdr:rowOff>266700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24</xdr:row>
          <xdr:rowOff>38100</xdr:rowOff>
        </xdr:from>
        <xdr:to>
          <xdr:col>35</xdr:col>
          <xdr:colOff>342900</xdr:colOff>
          <xdr:row>24</xdr:row>
          <xdr:rowOff>266700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24</xdr:row>
          <xdr:rowOff>38100</xdr:rowOff>
        </xdr:from>
        <xdr:to>
          <xdr:col>36</xdr:col>
          <xdr:colOff>342900</xdr:colOff>
          <xdr:row>24</xdr:row>
          <xdr:rowOff>266700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24</xdr:row>
          <xdr:rowOff>38100</xdr:rowOff>
        </xdr:from>
        <xdr:to>
          <xdr:col>37</xdr:col>
          <xdr:colOff>342900</xdr:colOff>
          <xdr:row>24</xdr:row>
          <xdr:rowOff>266700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25</xdr:row>
          <xdr:rowOff>38100</xdr:rowOff>
        </xdr:from>
        <xdr:to>
          <xdr:col>7</xdr:col>
          <xdr:colOff>342900</xdr:colOff>
          <xdr:row>25</xdr:row>
          <xdr:rowOff>266700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25</xdr:row>
          <xdr:rowOff>38100</xdr:rowOff>
        </xdr:from>
        <xdr:to>
          <xdr:col>8</xdr:col>
          <xdr:colOff>342900</xdr:colOff>
          <xdr:row>25</xdr:row>
          <xdr:rowOff>266700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25</xdr:row>
          <xdr:rowOff>38100</xdr:rowOff>
        </xdr:from>
        <xdr:to>
          <xdr:col>9</xdr:col>
          <xdr:colOff>342900</xdr:colOff>
          <xdr:row>25</xdr:row>
          <xdr:rowOff>266700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25</xdr:row>
          <xdr:rowOff>38100</xdr:rowOff>
        </xdr:from>
        <xdr:to>
          <xdr:col>10</xdr:col>
          <xdr:colOff>342900</xdr:colOff>
          <xdr:row>25</xdr:row>
          <xdr:rowOff>266700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25</xdr:row>
          <xdr:rowOff>38100</xdr:rowOff>
        </xdr:from>
        <xdr:to>
          <xdr:col>11</xdr:col>
          <xdr:colOff>342900</xdr:colOff>
          <xdr:row>25</xdr:row>
          <xdr:rowOff>266700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25</xdr:row>
          <xdr:rowOff>38100</xdr:rowOff>
        </xdr:from>
        <xdr:to>
          <xdr:col>12</xdr:col>
          <xdr:colOff>342900</xdr:colOff>
          <xdr:row>25</xdr:row>
          <xdr:rowOff>266700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25</xdr:row>
          <xdr:rowOff>38100</xdr:rowOff>
        </xdr:from>
        <xdr:to>
          <xdr:col>13</xdr:col>
          <xdr:colOff>342900</xdr:colOff>
          <xdr:row>25</xdr:row>
          <xdr:rowOff>266700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25</xdr:row>
          <xdr:rowOff>38100</xdr:rowOff>
        </xdr:from>
        <xdr:to>
          <xdr:col>14</xdr:col>
          <xdr:colOff>342900</xdr:colOff>
          <xdr:row>25</xdr:row>
          <xdr:rowOff>266700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25</xdr:row>
          <xdr:rowOff>38100</xdr:rowOff>
        </xdr:from>
        <xdr:to>
          <xdr:col>15</xdr:col>
          <xdr:colOff>342900</xdr:colOff>
          <xdr:row>25</xdr:row>
          <xdr:rowOff>266700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25</xdr:row>
          <xdr:rowOff>38100</xdr:rowOff>
        </xdr:from>
        <xdr:to>
          <xdr:col>16</xdr:col>
          <xdr:colOff>342900</xdr:colOff>
          <xdr:row>25</xdr:row>
          <xdr:rowOff>266700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25</xdr:row>
          <xdr:rowOff>38100</xdr:rowOff>
        </xdr:from>
        <xdr:to>
          <xdr:col>17</xdr:col>
          <xdr:colOff>342900</xdr:colOff>
          <xdr:row>25</xdr:row>
          <xdr:rowOff>266700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25</xdr:row>
          <xdr:rowOff>38100</xdr:rowOff>
        </xdr:from>
        <xdr:to>
          <xdr:col>18</xdr:col>
          <xdr:colOff>342900</xdr:colOff>
          <xdr:row>25</xdr:row>
          <xdr:rowOff>266700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25</xdr:row>
          <xdr:rowOff>38100</xdr:rowOff>
        </xdr:from>
        <xdr:to>
          <xdr:col>19</xdr:col>
          <xdr:colOff>342900</xdr:colOff>
          <xdr:row>25</xdr:row>
          <xdr:rowOff>266700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25</xdr:row>
          <xdr:rowOff>38100</xdr:rowOff>
        </xdr:from>
        <xdr:to>
          <xdr:col>20</xdr:col>
          <xdr:colOff>342900</xdr:colOff>
          <xdr:row>25</xdr:row>
          <xdr:rowOff>266700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25</xdr:row>
          <xdr:rowOff>38100</xdr:rowOff>
        </xdr:from>
        <xdr:to>
          <xdr:col>21</xdr:col>
          <xdr:colOff>342900</xdr:colOff>
          <xdr:row>25</xdr:row>
          <xdr:rowOff>266700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25</xdr:row>
          <xdr:rowOff>38100</xdr:rowOff>
        </xdr:from>
        <xdr:to>
          <xdr:col>22</xdr:col>
          <xdr:colOff>342900</xdr:colOff>
          <xdr:row>25</xdr:row>
          <xdr:rowOff>266700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25</xdr:row>
          <xdr:rowOff>38100</xdr:rowOff>
        </xdr:from>
        <xdr:to>
          <xdr:col>23</xdr:col>
          <xdr:colOff>342900</xdr:colOff>
          <xdr:row>25</xdr:row>
          <xdr:rowOff>266700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25</xdr:row>
          <xdr:rowOff>38100</xdr:rowOff>
        </xdr:from>
        <xdr:to>
          <xdr:col>24</xdr:col>
          <xdr:colOff>342900</xdr:colOff>
          <xdr:row>25</xdr:row>
          <xdr:rowOff>266700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25</xdr:row>
          <xdr:rowOff>38100</xdr:rowOff>
        </xdr:from>
        <xdr:to>
          <xdr:col>25</xdr:col>
          <xdr:colOff>342900</xdr:colOff>
          <xdr:row>25</xdr:row>
          <xdr:rowOff>266700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25</xdr:row>
          <xdr:rowOff>38100</xdr:rowOff>
        </xdr:from>
        <xdr:to>
          <xdr:col>26</xdr:col>
          <xdr:colOff>342900</xdr:colOff>
          <xdr:row>25</xdr:row>
          <xdr:rowOff>266700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25</xdr:row>
          <xdr:rowOff>38100</xdr:rowOff>
        </xdr:from>
        <xdr:to>
          <xdr:col>27</xdr:col>
          <xdr:colOff>342900</xdr:colOff>
          <xdr:row>25</xdr:row>
          <xdr:rowOff>266700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25</xdr:row>
          <xdr:rowOff>38100</xdr:rowOff>
        </xdr:from>
        <xdr:to>
          <xdr:col>28</xdr:col>
          <xdr:colOff>342900</xdr:colOff>
          <xdr:row>25</xdr:row>
          <xdr:rowOff>266700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25</xdr:row>
          <xdr:rowOff>38100</xdr:rowOff>
        </xdr:from>
        <xdr:to>
          <xdr:col>29</xdr:col>
          <xdr:colOff>342900</xdr:colOff>
          <xdr:row>25</xdr:row>
          <xdr:rowOff>266700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25</xdr:row>
          <xdr:rowOff>38100</xdr:rowOff>
        </xdr:from>
        <xdr:to>
          <xdr:col>30</xdr:col>
          <xdr:colOff>342900</xdr:colOff>
          <xdr:row>25</xdr:row>
          <xdr:rowOff>266700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25</xdr:row>
          <xdr:rowOff>38100</xdr:rowOff>
        </xdr:from>
        <xdr:to>
          <xdr:col>31</xdr:col>
          <xdr:colOff>342900</xdr:colOff>
          <xdr:row>25</xdr:row>
          <xdr:rowOff>266700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25</xdr:row>
          <xdr:rowOff>38100</xdr:rowOff>
        </xdr:from>
        <xdr:to>
          <xdr:col>32</xdr:col>
          <xdr:colOff>342900</xdr:colOff>
          <xdr:row>25</xdr:row>
          <xdr:rowOff>266700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25</xdr:row>
          <xdr:rowOff>38100</xdr:rowOff>
        </xdr:from>
        <xdr:to>
          <xdr:col>33</xdr:col>
          <xdr:colOff>342900</xdr:colOff>
          <xdr:row>25</xdr:row>
          <xdr:rowOff>266700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25</xdr:row>
          <xdr:rowOff>38100</xdr:rowOff>
        </xdr:from>
        <xdr:to>
          <xdr:col>34</xdr:col>
          <xdr:colOff>342900</xdr:colOff>
          <xdr:row>25</xdr:row>
          <xdr:rowOff>266700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25</xdr:row>
          <xdr:rowOff>38100</xdr:rowOff>
        </xdr:from>
        <xdr:to>
          <xdr:col>35</xdr:col>
          <xdr:colOff>342900</xdr:colOff>
          <xdr:row>25</xdr:row>
          <xdr:rowOff>266700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25</xdr:row>
          <xdr:rowOff>38100</xdr:rowOff>
        </xdr:from>
        <xdr:to>
          <xdr:col>36</xdr:col>
          <xdr:colOff>342900</xdr:colOff>
          <xdr:row>25</xdr:row>
          <xdr:rowOff>266700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25</xdr:row>
          <xdr:rowOff>38100</xdr:rowOff>
        </xdr:from>
        <xdr:to>
          <xdr:col>37</xdr:col>
          <xdr:colOff>342900</xdr:colOff>
          <xdr:row>25</xdr:row>
          <xdr:rowOff>266700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26</xdr:row>
          <xdr:rowOff>38100</xdr:rowOff>
        </xdr:from>
        <xdr:to>
          <xdr:col>7</xdr:col>
          <xdr:colOff>342900</xdr:colOff>
          <xdr:row>26</xdr:row>
          <xdr:rowOff>266700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26</xdr:row>
          <xdr:rowOff>38100</xdr:rowOff>
        </xdr:from>
        <xdr:to>
          <xdr:col>8</xdr:col>
          <xdr:colOff>342900</xdr:colOff>
          <xdr:row>26</xdr:row>
          <xdr:rowOff>266700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26</xdr:row>
          <xdr:rowOff>38100</xdr:rowOff>
        </xdr:from>
        <xdr:to>
          <xdr:col>9</xdr:col>
          <xdr:colOff>342900</xdr:colOff>
          <xdr:row>26</xdr:row>
          <xdr:rowOff>266700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26</xdr:row>
          <xdr:rowOff>38100</xdr:rowOff>
        </xdr:from>
        <xdr:to>
          <xdr:col>10</xdr:col>
          <xdr:colOff>342900</xdr:colOff>
          <xdr:row>26</xdr:row>
          <xdr:rowOff>266700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26</xdr:row>
          <xdr:rowOff>38100</xdr:rowOff>
        </xdr:from>
        <xdr:to>
          <xdr:col>11</xdr:col>
          <xdr:colOff>342900</xdr:colOff>
          <xdr:row>26</xdr:row>
          <xdr:rowOff>266700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26</xdr:row>
          <xdr:rowOff>38100</xdr:rowOff>
        </xdr:from>
        <xdr:to>
          <xdr:col>12</xdr:col>
          <xdr:colOff>342900</xdr:colOff>
          <xdr:row>26</xdr:row>
          <xdr:rowOff>266700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26</xdr:row>
          <xdr:rowOff>38100</xdr:rowOff>
        </xdr:from>
        <xdr:to>
          <xdr:col>13</xdr:col>
          <xdr:colOff>342900</xdr:colOff>
          <xdr:row>26</xdr:row>
          <xdr:rowOff>266700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26</xdr:row>
          <xdr:rowOff>38100</xdr:rowOff>
        </xdr:from>
        <xdr:to>
          <xdr:col>14</xdr:col>
          <xdr:colOff>342900</xdr:colOff>
          <xdr:row>26</xdr:row>
          <xdr:rowOff>266700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26</xdr:row>
          <xdr:rowOff>38100</xdr:rowOff>
        </xdr:from>
        <xdr:to>
          <xdr:col>15</xdr:col>
          <xdr:colOff>342900</xdr:colOff>
          <xdr:row>26</xdr:row>
          <xdr:rowOff>266700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26</xdr:row>
          <xdr:rowOff>38100</xdr:rowOff>
        </xdr:from>
        <xdr:to>
          <xdr:col>16</xdr:col>
          <xdr:colOff>342900</xdr:colOff>
          <xdr:row>26</xdr:row>
          <xdr:rowOff>266700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26</xdr:row>
          <xdr:rowOff>38100</xdr:rowOff>
        </xdr:from>
        <xdr:to>
          <xdr:col>17</xdr:col>
          <xdr:colOff>342900</xdr:colOff>
          <xdr:row>26</xdr:row>
          <xdr:rowOff>266700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26</xdr:row>
          <xdr:rowOff>38100</xdr:rowOff>
        </xdr:from>
        <xdr:to>
          <xdr:col>18</xdr:col>
          <xdr:colOff>342900</xdr:colOff>
          <xdr:row>26</xdr:row>
          <xdr:rowOff>266700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26</xdr:row>
          <xdr:rowOff>38100</xdr:rowOff>
        </xdr:from>
        <xdr:to>
          <xdr:col>19</xdr:col>
          <xdr:colOff>342900</xdr:colOff>
          <xdr:row>26</xdr:row>
          <xdr:rowOff>266700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26</xdr:row>
          <xdr:rowOff>38100</xdr:rowOff>
        </xdr:from>
        <xdr:to>
          <xdr:col>20</xdr:col>
          <xdr:colOff>342900</xdr:colOff>
          <xdr:row>26</xdr:row>
          <xdr:rowOff>266700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26</xdr:row>
          <xdr:rowOff>38100</xdr:rowOff>
        </xdr:from>
        <xdr:to>
          <xdr:col>21</xdr:col>
          <xdr:colOff>342900</xdr:colOff>
          <xdr:row>26</xdr:row>
          <xdr:rowOff>266700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26</xdr:row>
          <xdr:rowOff>38100</xdr:rowOff>
        </xdr:from>
        <xdr:to>
          <xdr:col>22</xdr:col>
          <xdr:colOff>342900</xdr:colOff>
          <xdr:row>26</xdr:row>
          <xdr:rowOff>266700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26</xdr:row>
          <xdr:rowOff>38100</xdr:rowOff>
        </xdr:from>
        <xdr:to>
          <xdr:col>23</xdr:col>
          <xdr:colOff>342900</xdr:colOff>
          <xdr:row>26</xdr:row>
          <xdr:rowOff>266700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26</xdr:row>
          <xdr:rowOff>38100</xdr:rowOff>
        </xdr:from>
        <xdr:to>
          <xdr:col>24</xdr:col>
          <xdr:colOff>342900</xdr:colOff>
          <xdr:row>26</xdr:row>
          <xdr:rowOff>266700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26</xdr:row>
          <xdr:rowOff>38100</xdr:rowOff>
        </xdr:from>
        <xdr:to>
          <xdr:col>25</xdr:col>
          <xdr:colOff>342900</xdr:colOff>
          <xdr:row>26</xdr:row>
          <xdr:rowOff>266700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26</xdr:row>
          <xdr:rowOff>38100</xdr:rowOff>
        </xdr:from>
        <xdr:to>
          <xdr:col>26</xdr:col>
          <xdr:colOff>342900</xdr:colOff>
          <xdr:row>26</xdr:row>
          <xdr:rowOff>266700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26</xdr:row>
          <xdr:rowOff>38100</xdr:rowOff>
        </xdr:from>
        <xdr:to>
          <xdr:col>27</xdr:col>
          <xdr:colOff>342900</xdr:colOff>
          <xdr:row>26</xdr:row>
          <xdr:rowOff>266700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26</xdr:row>
          <xdr:rowOff>38100</xdr:rowOff>
        </xdr:from>
        <xdr:to>
          <xdr:col>28</xdr:col>
          <xdr:colOff>342900</xdr:colOff>
          <xdr:row>26</xdr:row>
          <xdr:rowOff>266700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26</xdr:row>
          <xdr:rowOff>38100</xdr:rowOff>
        </xdr:from>
        <xdr:to>
          <xdr:col>29</xdr:col>
          <xdr:colOff>342900</xdr:colOff>
          <xdr:row>26</xdr:row>
          <xdr:rowOff>266700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26</xdr:row>
          <xdr:rowOff>38100</xdr:rowOff>
        </xdr:from>
        <xdr:to>
          <xdr:col>30</xdr:col>
          <xdr:colOff>342900</xdr:colOff>
          <xdr:row>26</xdr:row>
          <xdr:rowOff>266700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26</xdr:row>
          <xdr:rowOff>38100</xdr:rowOff>
        </xdr:from>
        <xdr:to>
          <xdr:col>31</xdr:col>
          <xdr:colOff>342900</xdr:colOff>
          <xdr:row>26</xdr:row>
          <xdr:rowOff>266700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26</xdr:row>
          <xdr:rowOff>38100</xdr:rowOff>
        </xdr:from>
        <xdr:to>
          <xdr:col>32</xdr:col>
          <xdr:colOff>342900</xdr:colOff>
          <xdr:row>26</xdr:row>
          <xdr:rowOff>266700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26</xdr:row>
          <xdr:rowOff>38100</xdr:rowOff>
        </xdr:from>
        <xdr:to>
          <xdr:col>33</xdr:col>
          <xdr:colOff>342900</xdr:colOff>
          <xdr:row>26</xdr:row>
          <xdr:rowOff>266700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26</xdr:row>
          <xdr:rowOff>38100</xdr:rowOff>
        </xdr:from>
        <xdr:to>
          <xdr:col>34</xdr:col>
          <xdr:colOff>342900</xdr:colOff>
          <xdr:row>26</xdr:row>
          <xdr:rowOff>266700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26</xdr:row>
          <xdr:rowOff>38100</xdr:rowOff>
        </xdr:from>
        <xdr:to>
          <xdr:col>35</xdr:col>
          <xdr:colOff>342900</xdr:colOff>
          <xdr:row>26</xdr:row>
          <xdr:rowOff>266700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26</xdr:row>
          <xdr:rowOff>38100</xdr:rowOff>
        </xdr:from>
        <xdr:to>
          <xdr:col>36</xdr:col>
          <xdr:colOff>342900</xdr:colOff>
          <xdr:row>26</xdr:row>
          <xdr:rowOff>266700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26</xdr:row>
          <xdr:rowOff>38100</xdr:rowOff>
        </xdr:from>
        <xdr:to>
          <xdr:col>37</xdr:col>
          <xdr:colOff>342900</xdr:colOff>
          <xdr:row>26</xdr:row>
          <xdr:rowOff>266700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27</xdr:row>
          <xdr:rowOff>38100</xdr:rowOff>
        </xdr:from>
        <xdr:to>
          <xdr:col>7</xdr:col>
          <xdr:colOff>342900</xdr:colOff>
          <xdr:row>27</xdr:row>
          <xdr:rowOff>266700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27</xdr:row>
          <xdr:rowOff>38100</xdr:rowOff>
        </xdr:from>
        <xdr:to>
          <xdr:col>8</xdr:col>
          <xdr:colOff>342900</xdr:colOff>
          <xdr:row>27</xdr:row>
          <xdr:rowOff>266700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27</xdr:row>
          <xdr:rowOff>38100</xdr:rowOff>
        </xdr:from>
        <xdr:to>
          <xdr:col>9</xdr:col>
          <xdr:colOff>342900</xdr:colOff>
          <xdr:row>27</xdr:row>
          <xdr:rowOff>266700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27</xdr:row>
          <xdr:rowOff>38100</xdr:rowOff>
        </xdr:from>
        <xdr:to>
          <xdr:col>10</xdr:col>
          <xdr:colOff>342900</xdr:colOff>
          <xdr:row>27</xdr:row>
          <xdr:rowOff>266700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27</xdr:row>
          <xdr:rowOff>38100</xdr:rowOff>
        </xdr:from>
        <xdr:to>
          <xdr:col>11</xdr:col>
          <xdr:colOff>342900</xdr:colOff>
          <xdr:row>27</xdr:row>
          <xdr:rowOff>266700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27</xdr:row>
          <xdr:rowOff>38100</xdr:rowOff>
        </xdr:from>
        <xdr:to>
          <xdr:col>12</xdr:col>
          <xdr:colOff>342900</xdr:colOff>
          <xdr:row>27</xdr:row>
          <xdr:rowOff>266700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27</xdr:row>
          <xdr:rowOff>38100</xdr:rowOff>
        </xdr:from>
        <xdr:to>
          <xdr:col>13</xdr:col>
          <xdr:colOff>342900</xdr:colOff>
          <xdr:row>27</xdr:row>
          <xdr:rowOff>266700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27</xdr:row>
          <xdr:rowOff>38100</xdr:rowOff>
        </xdr:from>
        <xdr:to>
          <xdr:col>14</xdr:col>
          <xdr:colOff>342900</xdr:colOff>
          <xdr:row>27</xdr:row>
          <xdr:rowOff>266700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27</xdr:row>
          <xdr:rowOff>38100</xdr:rowOff>
        </xdr:from>
        <xdr:to>
          <xdr:col>15</xdr:col>
          <xdr:colOff>342900</xdr:colOff>
          <xdr:row>27</xdr:row>
          <xdr:rowOff>266700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27</xdr:row>
          <xdr:rowOff>38100</xdr:rowOff>
        </xdr:from>
        <xdr:to>
          <xdr:col>16</xdr:col>
          <xdr:colOff>342900</xdr:colOff>
          <xdr:row>27</xdr:row>
          <xdr:rowOff>266700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27</xdr:row>
          <xdr:rowOff>38100</xdr:rowOff>
        </xdr:from>
        <xdr:to>
          <xdr:col>17</xdr:col>
          <xdr:colOff>342900</xdr:colOff>
          <xdr:row>27</xdr:row>
          <xdr:rowOff>266700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27</xdr:row>
          <xdr:rowOff>38100</xdr:rowOff>
        </xdr:from>
        <xdr:to>
          <xdr:col>18</xdr:col>
          <xdr:colOff>342900</xdr:colOff>
          <xdr:row>27</xdr:row>
          <xdr:rowOff>266700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27</xdr:row>
          <xdr:rowOff>38100</xdr:rowOff>
        </xdr:from>
        <xdr:to>
          <xdr:col>19</xdr:col>
          <xdr:colOff>342900</xdr:colOff>
          <xdr:row>27</xdr:row>
          <xdr:rowOff>266700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27</xdr:row>
          <xdr:rowOff>38100</xdr:rowOff>
        </xdr:from>
        <xdr:to>
          <xdr:col>20</xdr:col>
          <xdr:colOff>342900</xdr:colOff>
          <xdr:row>27</xdr:row>
          <xdr:rowOff>266700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27</xdr:row>
          <xdr:rowOff>38100</xdr:rowOff>
        </xdr:from>
        <xdr:to>
          <xdr:col>21</xdr:col>
          <xdr:colOff>342900</xdr:colOff>
          <xdr:row>27</xdr:row>
          <xdr:rowOff>266700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27</xdr:row>
          <xdr:rowOff>38100</xdr:rowOff>
        </xdr:from>
        <xdr:to>
          <xdr:col>22</xdr:col>
          <xdr:colOff>342900</xdr:colOff>
          <xdr:row>27</xdr:row>
          <xdr:rowOff>266700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27</xdr:row>
          <xdr:rowOff>38100</xdr:rowOff>
        </xdr:from>
        <xdr:to>
          <xdr:col>23</xdr:col>
          <xdr:colOff>342900</xdr:colOff>
          <xdr:row>27</xdr:row>
          <xdr:rowOff>266700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27</xdr:row>
          <xdr:rowOff>38100</xdr:rowOff>
        </xdr:from>
        <xdr:to>
          <xdr:col>24</xdr:col>
          <xdr:colOff>342900</xdr:colOff>
          <xdr:row>27</xdr:row>
          <xdr:rowOff>266700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27</xdr:row>
          <xdr:rowOff>38100</xdr:rowOff>
        </xdr:from>
        <xdr:to>
          <xdr:col>25</xdr:col>
          <xdr:colOff>342900</xdr:colOff>
          <xdr:row>27</xdr:row>
          <xdr:rowOff>266700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27</xdr:row>
          <xdr:rowOff>38100</xdr:rowOff>
        </xdr:from>
        <xdr:to>
          <xdr:col>26</xdr:col>
          <xdr:colOff>342900</xdr:colOff>
          <xdr:row>27</xdr:row>
          <xdr:rowOff>266700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27</xdr:row>
          <xdr:rowOff>38100</xdr:rowOff>
        </xdr:from>
        <xdr:to>
          <xdr:col>27</xdr:col>
          <xdr:colOff>342900</xdr:colOff>
          <xdr:row>27</xdr:row>
          <xdr:rowOff>266700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27</xdr:row>
          <xdr:rowOff>38100</xdr:rowOff>
        </xdr:from>
        <xdr:to>
          <xdr:col>28</xdr:col>
          <xdr:colOff>342900</xdr:colOff>
          <xdr:row>27</xdr:row>
          <xdr:rowOff>266700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27</xdr:row>
          <xdr:rowOff>38100</xdr:rowOff>
        </xdr:from>
        <xdr:to>
          <xdr:col>29</xdr:col>
          <xdr:colOff>342900</xdr:colOff>
          <xdr:row>27</xdr:row>
          <xdr:rowOff>266700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27</xdr:row>
          <xdr:rowOff>38100</xdr:rowOff>
        </xdr:from>
        <xdr:to>
          <xdr:col>30</xdr:col>
          <xdr:colOff>342900</xdr:colOff>
          <xdr:row>27</xdr:row>
          <xdr:rowOff>266700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27</xdr:row>
          <xdr:rowOff>38100</xdr:rowOff>
        </xdr:from>
        <xdr:to>
          <xdr:col>31</xdr:col>
          <xdr:colOff>342900</xdr:colOff>
          <xdr:row>27</xdr:row>
          <xdr:rowOff>266700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27</xdr:row>
          <xdr:rowOff>38100</xdr:rowOff>
        </xdr:from>
        <xdr:to>
          <xdr:col>32</xdr:col>
          <xdr:colOff>342900</xdr:colOff>
          <xdr:row>27</xdr:row>
          <xdr:rowOff>266700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27</xdr:row>
          <xdr:rowOff>38100</xdr:rowOff>
        </xdr:from>
        <xdr:to>
          <xdr:col>33</xdr:col>
          <xdr:colOff>342900</xdr:colOff>
          <xdr:row>27</xdr:row>
          <xdr:rowOff>266700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27</xdr:row>
          <xdr:rowOff>38100</xdr:rowOff>
        </xdr:from>
        <xdr:to>
          <xdr:col>34</xdr:col>
          <xdr:colOff>342900</xdr:colOff>
          <xdr:row>27</xdr:row>
          <xdr:rowOff>266700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27</xdr:row>
          <xdr:rowOff>38100</xdr:rowOff>
        </xdr:from>
        <xdr:to>
          <xdr:col>35</xdr:col>
          <xdr:colOff>342900</xdr:colOff>
          <xdr:row>27</xdr:row>
          <xdr:rowOff>266700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27</xdr:row>
          <xdr:rowOff>38100</xdr:rowOff>
        </xdr:from>
        <xdr:to>
          <xdr:col>36</xdr:col>
          <xdr:colOff>342900</xdr:colOff>
          <xdr:row>27</xdr:row>
          <xdr:rowOff>266700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27</xdr:row>
          <xdr:rowOff>38100</xdr:rowOff>
        </xdr:from>
        <xdr:to>
          <xdr:col>37</xdr:col>
          <xdr:colOff>342900</xdr:colOff>
          <xdr:row>27</xdr:row>
          <xdr:rowOff>266700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28</xdr:row>
          <xdr:rowOff>38100</xdr:rowOff>
        </xdr:from>
        <xdr:to>
          <xdr:col>7</xdr:col>
          <xdr:colOff>342900</xdr:colOff>
          <xdr:row>28</xdr:row>
          <xdr:rowOff>266700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28</xdr:row>
          <xdr:rowOff>38100</xdr:rowOff>
        </xdr:from>
        <xdr:to>
          <xdr:col>8</xdr:col>
          <xdr:colOff>342900</xdr:colOff>
          <xdr:row>28</xdr:row>
          <xdr:rowOff>266700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28</xdr:row>
          <xdr:rowOff>38100</xdr:rowOff>
        </xdr:from>
        <xdr:to>
          <xdr:col>9</xdr:col>
          <xdr:colOff>342900</xdr:colOff>
          <xdr:row>28</xdr:row>
          <xdr:rowOff>266700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28</xdr:row>
          <xdr:rowOff>38100</xdr:rowOff>
        </xdr:from>
        <xdr:to>
          <xdr:col>10</xdr:col>
          <xdr:colOff>342900</xdr:colOff>
          <xdr:row>28</xdr:row>
          <xdr:rowOff>266700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28</xdr:row>
          <xdr:rowOff>38100</xdr:rowOff>
        </xdr:from>
        <xdr:to>
          <xdr:col>11</xdr:col>
          <xdr:colOff>342900</xdr:colOff>
          <xdr:row>28</xdr:row>
          <xdr:rowOff>266700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28</xdr:row>
          <xdr:rowOff>38100</xdr:rowOff>
        </xdr:from>
        <xdr:to>
          <xdr:col>12</xdr:col>
          <xdr:colOff>342900</xdr:colOff>
          <xdr:row>28</xdr:row>
          <xdr:rowOff>266700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28</xdr:row>
          <xdr:rowOff>38100</xdr:rowOff>
        </xdr:from>
        <xdr:to>
          <xdr:col>13</xdr:col>
          <xdr:colOff>342900</xdr:colOff>
          <xdr:row>28</xdr:row>
          <xdr:rowOff>266700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28</xdr:row>
          <xdr:rowOff>38100</xdr:rowOff>
        </xdr:from>
        <xdr:to>
          <xdr:col>14</xdr:col>
          <xdr:colOff>342900</xdr:colOff>
          <xdr:row>28</xdr:row>
          <xdr:rowOff>266700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28</xdr:row>
          <xdr:rowOff>38100</xdr:rowOff>
        </xdr:from>
        <xdr:to>
          <xdr:col>15</xdr:col>
          <xdr:colOff>342900</xdr:colOff>
          <xdr:row>28</xdr:row>
          <xdr:rowOff>266700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28</xdr:row>
          <xdr:rowOff>38100</xdr:rowOff>
        </xdr:from>
        <xdr:to>
          <xdr:col>16</xdr:col>
          <xdr:colOff>342900</xdr:colOff>
          <xdr:row>28</xdr:row>
          <xdr:rowOff>266700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28</xdr:row>
          <xdr:rowOff>38100</xdr:rowOff>
        </xdr:from>
        <xdr:to>
          <xdr:col>17</xdr:col>
          <xdr:colOff>342900</xdr:colOff>
          <xdr:row>28</xdr:row>
          <xdr:rowOff>266700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28</xdr:row>
          <xdr:rowOff>38100</xdr:rowOff>
        </xdr:from>
        <xdr:to>
          <xdr:col>18</xdr:col>
          <xdr:colOff>342900</xdr:colOff>
          <xdr:row>28</xdr:row>
          <xdr:rowOff>266700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28</xdr:row>
          <xdr:rowOff>38100</xdr:rowOff>
        </xdr:from>
        <xdr:to>
          <xdr:col>19</xdr:col>
          <xdr:colOff>342900</xdr:colOff>
          <xdr:row>28</xdr:row>
          <xdr:rowOff>266700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28</xdr:row>
          <xdr:rowOff>38100</xdr:rowOff>
        </xdr:from>
        <xdr:to>
          <xdr:col>20</xdr:col>
          <xdr:colOff>342900</xdr:colOff>
          <xdr:row>28</xdr:row>
          <xdr:rowOff>266700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28</xdr:row>
          <xdr:rowOff>38100</xdr:rowOff>
        </xdr:from>
        <xdr:to>
          <xdr:col>21</xdr:col>
          <xdr:colOff>342900</xdr:colOff>
          <xdr:row>28</xdr:row>
          <xdr:rowOff>266700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28</xdr:row>
          <xdr:rowOff>38100</xdr:rowOff>
        </xdr:from>
        <xdr:to>
          <xdr:col>22</xdr:col>
          <xdr:colOff>342900</xdr:colOff>
          <xdr:row>28</xdr:row>
          <xdr:rowOff>266700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28</xdr:row>
          <xdr:rowOff>38100</xdr:rowOff>
        </xdr:from>
        <xdr:to>
          <xdr:col>23</xdr:col>
          <xdr:colOff>342900</xdr:colOff>
          <xdr:row>28</xdr:row>
          <xdr:rowOff>266700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28</xdr:row>
          <xdr:rowOff>38100</xdr:rowOff>
        </xdr:from>
        <xdr:to>
          <xdr:col>24</xdr:col>
          <xdr:colOff>342900</xdr:colOff>
          <xdr:row>28</xdr:row>
          <xdr:rowOff>266700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28</xdr:row>
          <xdr:rowOff>38100</xdr:rowOff>
        </xdr:from>
        <xdr:to>
          <xdr:col>25</xdr:col>
          <xdr:colOff>342900</xdr:colOff>
          <xdr:row>28</xdr:row>
          <xdr:rowOff>266700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28</xdr:row>
          <xdr:rowOff>38100</xdr:rowOff>
        </xdr:from>
        <xdr:to>
          <xdr:col>26</xdr:col>
          <xdr:colOff>342900</xdr:colOff>
          <xdr:row>28</xdr:row>
          <xdr:rowOff>266700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28</xdr:row>
          <xdr:rowOff>38100</xdr:rowOff>
        </xdr:from>
        <xdr:to>
          <xdr:col>27</xdr:col>
          <xdr:colOff>342900</xdr:colOff>
          <xdr:row>28</xdr:row>
          <xdr:rowOff>266700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28</xdr:row>
          <xdr:rowOff>38100</xdr:rowOff>
        </xdr:from>
        <xdr:to>
          <xdr:col>28</xdr:col>
          <xdr:colOff>342900</xdr:colOff>
          <xdr:row>28</xdr:row>
          <xdr:rowOff>266700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28</xdr:row>
          <xdr:rowOff>38100</xdr:rowOff>
        </xdr:from>
        <xdr:to>
          <xdr:col>29</xdr:col>
          <xdr:colOff>342900</xdr:colOff>
          <xdr:row>28</xdr:row>
          <xdr:rowOff>266700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28</xdr:row>
          <xdr:rowOff>38100</xdr:rowOff>
        </xdr:from>
        <xdr:to>
          <xdr:col>30</xdr:col>
          <xdr:colOff>342900</xdr:colOff>
          <xdr:row>28</xdr:row>
          <xdr:rowOff>266700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28</xdr:row>
          <xdr:rowOff>38100</xdr:rowOff>
        </xdr:from>
        <xdr:to>
          <xdr:col>31</xdr:col>
          <xdr:colOff>342900</xdr:colOff>
          <xdr:row>28</xdr:row>
          <xdr:rowOff>266700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28</xdr:row>
          <xdr:rowOff>38100</xdr:rowOff>
        </xdr:from>
        <xdr:to>
          <xdr:col>32</xdr:col>
          <xdr:colOff>342900</xdr:colOff>
          <xdr:row>28</xdr:row>
          <xdr:rowOff>266700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28</xdr:row>
          <xdr:rowOff>38100</xdr:rowOff>
        </xdr:from>
        <xdr:to>
          <xdr:col>33</xdr:col>
          <xdr:colOff>342900</xdr:colOff>
          <xdr:row>28</xdr:row>
          <xdr:rowOff>266700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28</xdr:row>
          <xdr:rowOff>38100</xdr:rowOff>
        </xdr:from>
        <xdr:to>
          <xdr:col>34</xdr:col>
          <xdr:colOff>342900</xdr:colOff>
          <xdr:row>28</xdr:row>
          <xdr:rowOff>266700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28</xdr:row>
          <xdr:rowOff>38100</xdr:rowOff>
        </xdr:from>
        <xdr:to>
          <xdr:col>35</xdr:col>
          <xdr:colOff>342900</xdr:colOff>
          <xdr:row>28</xdr:row>
          <xdr:rowOff>266700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28</xdr:row>
          <xdr:rowOff>38100</xdr:rowOff>
        </xdr:from>
        <xdr:to>
          <xdr:col>36</xdr:col>
          <xdr:colOff>342900</xdr:colOff>
          <xdr:row>28</xdr:row>
          <xdr:rowOff>266700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28</xdr:row>
          <xdr:rowOff>38100</xdr:rowOff>
        </xdr:from>
        <xdr:to>
          <xdr:col>37</xdr:col>
          <xdr:colOff>342900</xdr:colOff>
          <xdr:row>28</xdr:row>
          <xdr:rowOff>266700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29</xdr:row>
          <xdr:rowOff>38100</xdr:rowOff>
        </xdr:from>
        <xdr:to>
          <xdr:col>7</xdr:col>
          <xdr:colOff>342900</xdr:colOff>
          <xdr:row>29</xdr:row>
          <xdr:rowOff>266700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29</xdr:row>
          <xdr:rowOff>38100</xdr:rowOff>
        </xdr:from>
        <xdr:to>
          <xdr:col>8</xdr:col>
          <xdr:colOff>342900</xdr:colOff>
          <xdr:row>29</xdr:row>
          <xdr:rowOff>266700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29</xdr:row>
          <xdr:rowOff>38100</xdr:rowOff>
        </xdr:from>
        <xdr:to>
          <xdr:col>9</xdr:col>
          <xdr:colOff>342900</xdr:colOff>
          <xdr:row>29</xdr:row>
          <xdr:rowOff>266700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29</xdr:row>
          <xdr:rowOff>38100</xdr:rowOff>
        </xdr:from>
        <xdr:to>
          <xdr:col>10</xdr:col>
          <xdr:colOff>342900</xdr:colOff>
          <xdr:row>29</xdr:row>
          <xdr:rowOff>266700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29</xdr:row>
          <xdr:rowOff>38100</xdr:rowOff>
        </xdr:from>
        <xdr:to>
          <xdr:col>11</xdr:col>
          <xdr:colOff>342900</xdr:colOff>
          <xdr:row>29</xdr:row>
          <xdr:rowOff>266700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29</xdr:row>
          <xdr:rowOff>38100</xdr:rowOff>
        </xdr:from>
        <xdr:to>
          <xdr:col>12</xdr:col>
          <xdr:colOff>342900</xdr:colOff>
          <xdr:row>29</xdr:row>
          <xdr:rowOff>266700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29</xdr:row>
          <xdr:rowOff>38100</xdr:rowOff>
        </xdr:from>
        <xdr:to>
          <xdr:col>13</xdr:col>
          <xdr:colOff>342900</xdr:colOff>
          <xdr:row>29</xdr:row>
          <xdr:rowOff>266700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29</xdr:row>
          <xdr:rowOff>38100</xdr:rowOff>
        </xdr:from>
        <xdr:to>
          <xdr:col>14</xdr:col>
          <xdr:colOff>342900</xdr:colOff>
          <xdr:row>29</xdr:row>
          <xdr:rowOff>266700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29</xdr:row>
          <xdr:rowOff>38100</xdr:rowOff>
        </xdr:from>
        <xdr:to>
          <xdr:col>15</xdr:col>
          <xdr:colOff>342900</xdr:colOff>
          <xdr:row>29</xdr:row>
          <xdr:rowOff>266700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29</xdr:row>
          <xdr:rowOff>38100</xdr:rowOff>
        </xdr:from>
        <xdr:to>
          <xdr:col>16</xdr:col>
          <xdr:colOff>342900</xdr:colOff>
          <xdr:row>29</xdr:row>
          <xdr:rowOff>266700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29</xdr:row>
          <xdr:rowOff>38100</xdr:rowOff>
        </xdr:from>
        <xdr:to>
          <xdr:col>17</xdr:col>
          <xdr:colOff>342900</xdr:colOff>
          <xdr:row>29</xdr:row>
          <xdr:rowOff>266700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29</xdr:row>
          <xdr:rowOff>38100</xdr:rowOff>
        </xdr:from>
        <xdr:to>
          <xdr:col>18</xdr:col>
          <xdr:colOff>342900</xdr:colOff>
          <xdr:row>29</xdr:row>
          <xdr:rowOff>266700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29</xdr:row>
          <xdr:rowOff>38100</xdr:rowOff>
        </xdr:from>
        <xdr:to>
          <xdr:col>19</xdr:col>
          <xdr:colOff>342900</xdr:colOff>
          <xdr:row>29</xdr:row>
          <xdr:rowOff>266700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29</xdr:row>
          <xdr:rowOff>38100</xdr:rowOff>
        </xdr:from>
        <xdr:to>
          <xdr:col>20</xdr:col>
          <xdr:colOff>342900</xdr:colOff>
          <xdr:row>29</xdr:row>
          <xdr:rowOff>266700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29</xdr:row>
          <xdr:rowOff>38100</xdr:rowOff>
        </xdr:from>
        <xdr:to>
          <xdr:col>21</xdr:col>
          <xdr:colOff>342900</xdr:colOff>
          <xdr:row>29</xdr:row>
          <xdr:rowOff>266700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29</xdr:row>
          <xdr:rowOff>38100</xdr:rowOff>
        </xdr:from>
        <xdr:to>
          <xdr:col>22</xdr:col>
          <xdr:colOff>342900</xdr:colOff>
          <xdr:row>29</xdr:row>
          <xdr:rowOff>266700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29</xdr:row>
          <xdr:rowOff>38100</xdr:rowOff>
        </xdr:from>
        <xdr:to>
          <xdr:col>23</xdr:col>
          <xdr:colOff>342900</xdr:colOff>
          <xdr:row>29</xdr:row>
          <xdr:rowOff>266700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29</xdr:row>
          <xdr:rowOff>38100</xdr:rowOff>
        </xdr:from>
        <xdr:to>
          <xdr:col>24</xdr:col>
          <xdr:colOff>342900</xdr:colOff>
          <xdr:row>29</xdr:row>
          <xdr:rowOff>266700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29</xdr:row>
          <xdr:rowOff>38100</xdr:rowOff>
        </xdr:from>
        <xdr:to>
          <xdr:col>25</xdr:col>
          <xdr:colOff>342900</xdr:colOff>
          <xdr:row>29</xdr:row>
          <xdr:rowOff>266700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29</xdr:row>
          <xdr:rowOff>38100</xdr:rowOff>
        </xdr:from>
        <xdr:to>
          <xdr:col>26</xdr:col>
          <xdr:colOff>342900</xdr:colOff>
          <xdr:row>29</xdr:row>
          <xdr:rowOff>266700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29</xdr:row>
          <xdr:rowOff>38100</xdr:rowOff>
        </xdr:from>
        <xdr:to>
          <xdr:col>27</xdr:col>
          <xdr:colOff>342900</xdr:colOff>
          <xdr:row>29</xdr:row>
          <xdr:rowOff>266700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29</xdr:row>
          <xdr:rowOff>38100</xdr:rowOff>
        </xdr:from>
        <xdr:to>
          <xdr:col>28</xdr:col>
          <xdr:colOff>342900</xdr:colOff>
          <xdr:row>29</xdr:row>
          <xdr:rowOff>266700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29</xdr:row>
          <xdr:rowOff>38100</xdr:rowOff>
        </xdr:from>
        <xdr:to>
          <xdr:col>29</xdr:col>
          <xdr:colOff>342900</xdr:colOff>
          <xdr:row>29</xdr:row>
          <xdr:rowOff>266700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29</xdr:row>
          <xdr:rowOff>38100</xdr:rowOff>
        </xdr:from>
        <xdr:to>
          <xdr:col>30</xdr:col>
          <xdr:colOff>342900</xdr:colOff>
          <xdr:row>29</xdr:row>
          <xdr:rowOff>266700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29</xdr:row>
          <xdr:rowOff>38100</xdr:rowOff>
        </xdr:from>
        <xdr:to>
          <xdr:col>31</xdr:col>
          <xdr:colOff>342900</xdr:colOff>
          <xdr:row>29</xdr:row>
          <xdr:rowOff>266700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29</xdr:row>
          <xdr:rowOff>38100</xdr:rowOff>
        </xdr:from>
        <xdr:to>
          <xdr:col>32</xdr:col>
          <xdr:colOff>342900</xdr:colOff>
          <xdr:row>29</xdr:row>
          <xdr:rowOff>266700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29</xdr:row>
          <xdr:rowOff>38100</xdr:rowOff>
        </xdr:from>
        <xdr:to>
          <xdr:col>33</xdr:col>
          <xdr:colOff>342900</xdr:colOff>
          <xdr:row>29</xdr:row>
          <xdr:rowOff>266700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29</xdr:row>
          <xdr:rowOff>38100</xdr:rowOff>
        </xdr:from>
        <xdr:to>
          <xdr:col>34</xdr:col>
          <xdr:colOff>342900</xdr:colOff>
          <xdr:row>29</xdr:row>
          <xdr:rowOff>266700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29</xdr:row>
          <xdr:rowOff>38100</xdr:rowOff>
        </xdr:from>
        <xdr:to>
          <xdr:col>35</xdr:col>
          <xdr:colOff>342900</xdr:colOff>
          <xdr:row>29</xdr:row>
          <xdr:rowOff>266700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29</xdr:row>
          <xdr:rowOff>38100</xdr:rowOff>
        </xdr:from>
        <xdr:to>
          <xdr:col>36</xdr:col>
          <xdr:colOff>342900</xdr:colOff>
          <xdr:row>29</xdr:row>
          <xdr:rowOff>266700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29</xdr:row>
          <xdr:rowOff>38100</xdr:rowOff>
        </xdr:from>
        <xdr:to>
          <xdr:col>37</xdr:col>
          <xdr:colOff>342900</xdr:colOff>
          <xdr:row>29</xdr:row>
          <xdr:rowOff>266700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30</xdr:row>
          <xdr:rowOff>38100</xdr:rowOff>
        </xdr:from>
        <xdr:to>
          <xdr:col>7</xdr:col>
          <xdr:colOff>342900</xdr:colOff>
          <xdr:row>30</xdr:row>
          <xdr:rowOff>266700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30</xdr:row>
          <xdr:rowOff>38100</xdr:rowOff>
        </xdr:from>
        <xdr:to>
          <xdr:col>8</xdr:col>
          <xdr:colOff>342900</xdr:colOff>
          <xdr:row>30</xdr:row>
          <xdr:rowOff>266700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30</xdr:row>
          <xdr:rowOff>38100</xdr:rowOff>
        </xdr:from>
        <xdr:to>
          <xdr:col>9</xdr:col>
          <xdr:colOff>342900</xdr:colOff>
          <xdr:row>30</xdr:row>
          <xdr:rowOff>266700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30</xdr:row>
          <xdr:rowOff>38100</xdr:rowOff>
        </xdr:from>
        <xdr:to>
          <xdr:col>10</xdr:col>
          <xdr:colOff>342900</xdr:colOff>
          <xdr:row>30</xdr:row>
          <xdr:rowOff>266700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30</xdr:row>
          <xdr:rowOff>38100</xdr:rowOff>
        </xdr:from>
        <xdr:to>
          <xdr:col>11</xdr:col>
          <xdr:colOff>342900</xdr:colOff>
          <xdr:row>30</xdr:row>
          <xdr:rowOff>266700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30</xdr:row>
          <xdr:rowOff>38100</xdr:rowOff>
        </xdr:from>
        <xdr:to>
          <xdr:col>12</xdr:col>
          <xdr:colOff>342900</xdr:colOff>
          <xdr:row>30</xdr:row>
          <xdr:rowOff>266700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30</xdr:row>
          <xdr:rowOff>38100</xdr:rowOff>
        </xdr:from>
        <xdr:to>
          <xdr:col>13</xdr:col>
          <xdr:colOff>342900</xdr:colOff>
          <xdr:row>30</xdr:row>
          <xdr:rowOff>266700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30</xdr:row>
          <xdr:rowOff>38100</xdr:rowOff>
        </xdr:from>
        <xdr:to>
          <xdr:col>14</xdr:col>
          <xdr:colOff>342900</xdr:colOff>
          <xdr:row>30</xdr:row>
          <xdr:rowOff>266700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30</xdr:row>
          <xdr:rowOff>38100</xdr:rowOff>
        </xdr:from>
        <xdr:to>
          <xdr:col>15</xdr:col>
          <xdr:colOff>342900</xdr:colOff>
          <xdr:row>30</xdr:row>
          <xdr:rowOff>266700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30</xdr:row>
          <xdr:rowOff>38100</xdr:rowOff>
        </xdr:from>
        <xdr:to>
          <xdr:col>16</xdr:col>
          <xdr:colOff>342900</xdr:colOff>
          <xdr:row>30</xdr:row>
          <xdr:rowOff>266700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30</xdr:row>
          <xdr:rowOff>38100</xdr:rowOff>
        </xdr:from>
        <xdr:to>
          <xdr:col>17</xdr:col>
          <xdr:colOff>342900</xdr:colOff>
          <xdr:row>30</xdr:row>
          <xdr:rowOff>266700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30</xdr:row>
          <xdr:rowOff>38100</xdr:rowOff>
        </xdr:from>
        <xdr:to>
          <xdr:col>18</xdr:col>
          <xdr:colOff>342900</xdr:colOff>
          <xdr:row>30</xdr:row>
          <xdr:rowOff>266700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30</xdr:row>
          <xdr:rowOff>38100</xdr:rowOff>
        </xdr:from>
        <xdr:to>
          <xdr:col>19</xdr:col>
          <xdr:colOff>342900</xdr:colOff>
          <xdr:row>30</xdr:row>
          <xdr:rowOff>266700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30</xdr:row>
          <xdr:rowOff>38100</xdr:rowOff>
        </xdr:from>
        <xdr:to>
          <xdr:col>20</xdr:col>
          <xdr:colOff>342900</xdr:colOff>
          <xdr:row>30</xdr:row>
          <xdr:rowOff>266700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30</xdr:row>
          <xdr:rowOff>38100</xdr:rowOff>
        </xdr:from>
        <xdr:to>
          <xdr:col>21</xdr:col>
          <xdr:colOff>342900</xdr:colOff>
          <xdr:row>30</xdr:row>
          <xdr:rowOff>266700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30</xdr:row>
          <xdr:rowOff>38100</xdr:rowOff>
        </xdr:from>
        <xdr:to>
          <xdr:col>22</xdr:col>
          <xdr:colOff>342900</xdr:colOff>
          <xdr:row>30</xdr:row>
          <xdr:rowOff>266700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30</xdr:row>
          <xdr:rowOff>38100</xdr:rowOff>
        </xdr:from>
        <xdr:to>
          <xdr:col>23</xdr:col>
          <xdr:colOff>342900</xdr:colOff>
          <xdr:row>30</xdr:row>
          <xdr:rowOff>266700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30</xdr:row>
          <xdr:rowOff>38100</xdr:rowOff>
        </xdr:from>
        <xdr:to>
          <xdr:col>24</xdr:col>
          <xdr:colOff>342900</xdr:colOff>
          <xdr:row>30</xdr:row>
          <xdr:rowOff>266700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30</xdr:row>
          <xdr:rowOff>38100</xdr:rowOff>
        </xdr:from>
        <xdr:to>
          <xdr:col>25</xdr:col>
          <xdr:colOff>342900</xdr:colOff>
          <xdr:row>30</xdr:row>
          <xdr:rowOff>266700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30</xdr:row>
          <xdr:rowOff>38100</xdr:rowOff>
        </xdr:from>
        <xdr:to>
          <xdr:col>26</xdr:col>
          <xdr:colOff>342900</xdr:colOff>
          <xdr:row>30</xdr:row>
          <xdr:rowOff>266700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30</xdr:row>
          <xdr:rowOff>38100</xdr:rowOff>
        </xdr:from>
        <xdr:to>
          <xdr:col>27</xdr:col>
          <xdr:colOff>342900</xdr:colOff>
          <xdr:row>30</xdr:row>
          <xdr:rowOff>266700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30</xdr:row>
          <xdr:rowOff>38100</xdr:rowOff>
        </xdr:from>
        <xdr:to>
          <xdr:col>28</xdr:col>
          <xdr:colOff>342900</xdr:colOff>
          <xdr:row>30</xdr:row>
          <xdr:rowOff>266700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30</xdr:row>
          <xdr:rowOff>38100</xdr:rowOff>
        </xdr:from>
        <xdr:to>
          <xdr:col>29</xdr:col>
          <xdr:colOff>342900</xdr:colOff>
          <xdr:row>30</xdr:row>
          <xdr:rowOff>266700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30</xdr:row>
          <xdr:rowOff>38100</xdr:rowOff>
        </xdr:from>
        <xdr:to>
          <xdr:col>30</xdr:col>
          <xdr:colOff>342900</xdr:colOff>
          <xdr:row>30</xdr:row>
          <xdr:rowOff>266700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30</xdr:row>
          <xdr:rowOff>38100</xdr:rowOff>
        </xdr:from>
        <xdr:to>
          <xdr:col>31</xdr:col>
          <xdr:colOff>342900</xdr:colOff>
          <xdr:row>30</xdr:row>
          <xdr:rowOff>266700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30</xdr:row>
          <xdr:rowOff>38100</xdr:rowOff>
        </xdr:from>
        <xdr:to>
          <xdr:col>32</xdr:col>
          <xdr:colOff>342900</xdr:colOff>
          <xdr:row>30</xdr:row>
          <xdr:rowOff>266700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30</xdr:row>
          <xdr:rowOff>38100</xdr:rowOff>
        </xdr:from>
        <xdr:to>
          <xdr:col>33</xdr:col>
          <xdr:colOff>342900</xdr:colOff>
          <xdr:row>30</xdr:row>
          <xdr:rowOff>266700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30</xdr:row>
          <xdr:rowOff>38100</xdr:rowOff>
        </xdr:from>
        <xdr:to>
          <xdr:col>34</xdr:col>
          <xdr:colOff>342900</xdr:colOff>
          <xdr:row>30</xdr:row>
          <xdr:rowOff>266700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30</xdr:row>
          <xdr:rowOff>38100</xdr:rowOff>
        </xdr:from>
        <xdr:to>
          <xdr:col>35</xdr:col>
          <xdr:colOff>342900</xdr:colOff>
          <xdr:row>30</xdr:row>
          <xdr:rowOff>266700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30</xdr:row>
          <xdr:rowOff>38100</xdr:rowOff>
        </xdr:from>
        <xdr:to>
          <xdr:col>36</xdr:col>
          <xdr:colOff>342900</xdr:colOff>
          <xdr:row>30</xdr:row>
          <xdr:rowOff>266700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30</xdr:row>
          <xdr:rowOff>38100</xdr:rowOff>
        </xdr:from>
        <xdr:to>
          <xdr:col>37</xdr:col>
          <xdr:colOff>342900</xdr:colOff>
          <xdr:row>30</xdr:row>
          <xdr:rowOff>266700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31</xdr:row>
          <xdr:rowOff>38100</xdr:rowOff>
        </xdr:from>
        <xdr:to>
          <xdr:col>7</xdr:col>
          <xdr:colOff>342900</xdr:colOff>
          <xdr:row>31</xdr:row>
          <xdr:rowOff>266700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31</xdr:row>
          <xdr:rowOff>38100</xdr:rowOff>
        </xdr:from>
        <xdr:to>
          <xdr:col>8</xdr:col>
          <xdr:colOff>342900</xdr:colOff>
          <xdr:row>31</xdr:row>
          <xdr:rowOff>266700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31</xdr:row>
          <xdr:rowOff>38100</xdr:rowOff>
        </xdr:from>
        <xdr:to>
          <xdr:col>9</xdr:col>
          <xdr:colOff>342900</xdr:colOff>
          <xdr:row>31</xdr:row>
          <xdr:rowOff>266700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31</xdr:row>
          <xdr:rowOff>38100</xdr:rowOff>
        </xdr:from>
        <xdr:to>
          <xdr:col>10</xdr:col>
          <xdr:colOff>342900</xdr:colOff>
          <xdr:row>31</xdr:row>
          <xdr:rowOff>266700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31</xdr:row>
          <xdr:rowOff>38100</xdr:rowOff>
        </xdr:from>
        <xdr:to>
          <xdr:col>11</xdr:col>
          <xdr:colOff>342900</xdr:colOff>
          <xdr:row>31</xdr:row>
          <xdr:rowOff>266700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31</xdr:row>
          <xdr:rowOff>38100</xdr:rowOff>
        </xdr:from>
        <xdr:to>
          <xdr:col>12</xdr:col>
          <xdr:colOff>342900</xdr:colOff>
          <xdr:row>31</xdr:row>
          <xdr:rowOff>266700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31</xdr:row>
          <xdr:rowOff>38100</xdr:rowOff>
        </xdr:from>
        <xdr:to>
          <xdr:col>13</xdr:col>
          <xdr:colOff>342900</xdr:colOff>
          <xdr:row>31</xdr:row>
          <xdr:rowOff>266700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31</xdr:row>
          <xdr:rowOff>38100</xdr:rowOff>
        </xdr:from>
        <xdr:to>
          <xdr:col>14</xdr:col>
          <xdr:colOff>342900</xdr:colOff>
          <xdr:row>31</xdr:row>
          <xdr:rowOff>266700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31</xdr:row>
          <xdr:rowOff>38100</xdr:rowOff>
        </xdr:from>
        <xdr:to>
          <xdr:col>15</xdr:col>
          <xdr:colOff>342900</xdr:colOff>
          <xdr:row>31</xdr:row>
          <xdr:rowOff>266700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31</xdr:row>
          <xdr:rowOff>38100</xdr:rowOff>
        </xdr:from>
        <xdr:to>
          <xdr:col>16</xdr:col>
          <xdr:colOff>342900</xdr:colOff>
          <xdr:row>31</xdr:row>
          <xdr:rowOff>266700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31</xdr:row>
          <xdr:rowOff>38100</xdr:rowOff>
        </xdr:from>
        <xdr:to>
          <xdr:col>17</xdr:col>
          <xdr:colOff>342900</xdr:colOff>
          <xdr:row>31</xdr:row>
          <xdr:rowOff>266700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31</xdr:row>
          <xdr:rowOff>38100</xdr:rowOff>
        </xdr:from>
        <xdr:to>
          <xdr:col>18</xdr:col>
          <xdr:colOff>342900</xdr:colOff>
          <xdr:row>31</xdr:row>
          <xdr:rowOff>266700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31</xdr:row>
          <xdr:rowOff>38100</xdr:rowOff>
        </xdr:from>
        <xdr:to>
          <xdr:col>19</xdr:col>
          <xdr:colOff>342900</xdr:colOff>
          <xdr:row>31</xdr:row>
          <xdr:rowOff>266700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31</xdr:row>
          <xdr:rowOff>38100</xdr:rowOff>
        </xdr:from>
        <xdr:to>
          <xdr:col>20</xdr:col>
          <xdr:colOff>342900</xdr:colOff>
          <xdr:row>31</xdr:row>
          <xdr:rowOff>266700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31</xdr:row>
          <xdr:rowOff>38100</xdr:rowOff>
        </xdr:from>
        <xdr:to>
          <xdr:col>21</xdr:col>
          <xdr:colOff>342900</xdr:colOff>
          <xdr:row>31</xdr:row>
          <xdr:rowOff>266700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31</xdr:row>
          <xdr:rowOff>38100</xdr:rowOff>
        </xdr:from>
        <xdr:to>
          <xdr:col>22</xdr:col>
          <xdr:colOff>342900</xdr:colOff>
          <xdr:row>31</xdr:row>
          <xdr:rowOff>266700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31</xdr:row>
          <xdr:rowOff>38100</xdr:rowOff>
        </xdr:from>
        <xdr:to>
          <xdr:col>23</xdr:col>
          <xdr:colOff>342900</xdr:colOff>
          <xdr:row>31</xdr:row>
          <xdr:rowOff>266700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31</xdr:row>
          <xdr:rowOff>38100</xdr:rowOff>
        </xdr:from>
        <xdr:to>
          <xdr:col>24</xdr:col>
          <xdr:colOff>342900</xdr:colOff>
          <xdr:row>31</xdr:row>
          <xdr:rowOff>266700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31</xdr:row>
          <xdr:rowOff>38100</xdr:rowOff>
        </xdr:from>
        <xdr:to>
          <xdr:col>25</xdr:col>
          <xdr:colOff>342900</xdr:colOff>
          <xdr:row>31</xdr:row>
          <xdr:rowOff>266700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31</xdr:row>
          <xdr:rowOff>38100</xdr:rowOff>
        </xdr:from>
        <xdr:to>
          <xdr:col>26</xdr:col>
          <xdr:colOff>342900</xdr:colOff>
          <xdr:row>31</xdr:row>
          <xdr:rowOff>266700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31</xdr:row>
          <xdr:rowOff>38100</xdr:rowOff>
        </xdr:from>
        <xdr:to>
          <xdr:col>27</xdr:col>
          <xdr:colOff>342900</xdr:colOff>
          <xdr:row>31</xdr:row>
          <xdr:rowOff>266700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31</xdr:row>
          <xdr:rowOff>38100</xdr:rowOff>
        </xdr:from>
        <xdr:to>
          <xdr:col>28</xdr:col>
          <xdr:colOff>342900</xdr:colOff>
          <xdr:row>31</xdr:row>
          <xdr:rowOff>266700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31</xdr:row>
          <xdr:rowOff>38100</xdr:rowOff>
        </xdr:from>
        <xdr:to>
          <xdr:col>29</xdr:col>
          <xdr:colOff>342900</xdr:colOff>
          <xdr:row>31</xdr:row>
          <xdr:rowOff>266700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31</xdr:row>
          <xdr:rowOff>38100</xdr:rowOff>
        </xdr:from>
        <xdr:to>
          <xdr:col>30</xdr:col>
          <xdr:colOff>342900</xdr:colOff>
          <xdr:row>31</xdr:row>
          <xdr:rowOff>266700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31</xdr:row>
          <xdr:rowOff>38100</xdr:rowOff>
        </xdr:from>
        <xdr:to>
          <xdr:col>31</xdr:col>
          <xdr:colOff>342900</xdr:colOff>
          <xdr:row>31</xdr:row>
          <xdr:rowOff>266700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31</xdr:row>
          <xdr:rowOff>38100</xdr:rowOff>
        </xdr:from>
        <xdr:to>
          <xdr:col>32</xdr:col>
          <xdr:colOff>342900</xdr:colOff>
          <xdr:row>31</xdr:row>
          <xdr:rowOff>266700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31</xdr:row>
          <xdr:rowOff>38100</xdr:rowOff>
        </xdr:from>
        <xdr:to>
          <xdr:col>33</xdr:col>
          <xdr:colOff>342900</xdr:colOff>
          <xdr:row>31</xdr:row>
          <xdr:rowOff>266700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31</xdr:row>
          <xdr:rowOff>38100</xdr:rowOff>
        </xdr:from>
        <xdr:to>
          <xdr:col>34</xdr:col>
          <xdr:colOff>342900</xdr:colOff>
          <xdr:row>31</xdr:row>
          <xdr:rowOff>266700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31</xdr:row>
          <xdr:rowOff>38100</xdr:rowOff>
        </xdr:from>
        <xdr:to>
          <xdr:col>35</xdr:col>
          <xdr:colOff>342900</xdr:colOff>
          <xdr:row>31</xdr:row>
          <xdr:rowOff>266700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31</xdr:row>
          <xdr:rowOff>38100</xdr:rowOff>
        </xdr:from>
        <xdr:to>
          <xdr:col>36</xdr:col>
          <xdr:colOff>342900</xdr:colOff>
          <xdr:row>31</xdr:row>
          <xdr:rowOff>266700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31</xdr:row>
          <xdr:rowOff>38100</xdr:rowOff>
        </xdr:from>
        <xdr:to>
          <xdr:col>37</xdr:col>
          <xdr:colOff>342900</xdr:colOff>
          <xdr:row>31</xdr:row>
          <xdr:rowOff>266700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32</xdr:row>
          <xdr:rowOff>38100</xdr:rowOff>
        </xdr:from>
        <xdr:to>
          <xdr:col>7</xdr:col>
          <xdr:colOff>342900</xdr:colOff>
          <xdr:row>32</xdr:row>
          <xdr:rowOff>266700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32</xdr:row>
          <xdr:rowOff>38100</xdr:rowOff>
        </xdr:from>
        <xdr:to>
          <xdr:col>8</xdr:col>
          <xdr:colOff>342900</xdr:colOff>
          <xdr:row>32</xdr:row>
          <xdr:rowOff>266700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32</xdr:row>
          <xdr:rowOff>38100</xdr:rowOff>
        </xdr:from>
        <xdr:to>
          <xdr:col>9</xdr:col>
          <xdr:colOff>342900</xdr:colOff>
          <xdr:row>32</xdr:row>
          <xdr:rowOff>266700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32</xdr:row>
          <xdr:rowOff>38100</xdr:rowOff>
        </xdr:from>
        <xdr:to>
          <xdr:col>10</xdr:col>
          <xdr:colOff>342900</xdr:colOff>
          <xdr:row>32</xdr:row>
          <xdr:rowOff>266700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32</xdr:row>
          <xdr:rowOff>38100</xdr:rowOff>
        </xdr:from>
        <xdr:to>
          <xdr:col>11</xdr:col>
          <xdr:colOff>342900</xdr:colOff>
          <xdr:row>32</xdr:row>
          <xdr:rowOff>266700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32</xdr:row>
          <xdr:rowOff>38100</xdr:rowOff>
        </xdr:from>
        <xdr:to>
          <xdr:col>12</xdr:col>
          <xdr:colOff>342900</xdr:colOff>
          <xdr:row>32</xdr:row>
          <xdr:rowOff>266700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32</xdr:row>
          <xdr:rowOff>38100</xdr:rowOff>
        </xdr:from>
        <xdr:to>
          <xdr:col>13</xdr:col>
          <xdr:colOff>342900</xdr:colOff>
          <xdr:row>32</xdr:row>
          <xdr:rowOff>266700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32</xdr:row>
          <xdr:rowOff>38100</xdr:rowOff>
        </xdr:from>
        <xdr:to>
          <xdr:col>14</xdr:col>
          <xdr:colOff>342900</xdr:colOff>
          <xdr:row>32</xdr:row>
          <xdr:rowOff>266700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32</xdr:row>
          <xdr:rowOff>38100</xdr:rowOff>
        </xdr:from>
        <xdr:to>
          <xdr:col>15</xdr:col>
          <xdr:colOff>342900</xdr:colOff>
          <xdr:row>32</xdr:row>
          <xdr:rowOff>266700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32</xdr:row>
          <xdr:rowOff>38100</xdr:rowOff>
        </xdr:from>
        <xdr:to>
          <xdr:col>16</xdr:col>
          <xdr:colOff>342900</xdr:colOff>
          <xdr:row>32</xdr:row>
          <xdr:rowOff>266700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32</xdr:row>
          <xdr:rowOff>38100</xdr:rowOff>
        </xdr:from>
        <xdr:to>
          <xdr:col>17</xdr:col>
          <xdr:colOff>342900</xdr:colOff>
          <xdr:row>32</xdr:row>
          <xdr:rowOff>266700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32</xdr:row>
          <xdr:rowOff>38100</xdr:rowOff>
        </xdr:from>
        <xdr:to>
          <xdr:col>18</xdr:col>
          <xdr:colOff>342900</xdr:colOff>
          <xdr:row>32</xdr:row>
          <xdr:rowOff>266700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32</xdr:row>
          <xdr:rowOff>38100</xdr:rowOff>
        </xdr:from>
        <xdr:to>
          <xdr:col>19</xdr:col>
          <xdr:colOff>342900</xdr:colOff>
          <xdr:row>32</xdr:row>
          <xdr:rowOff>266700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32</xdr:row>
          <xdr:rowOff>38100</xdr:rowOff>
        </xdr:from>
        <xdr:to>
          <xdr:col>20</xdr:col>
          <xdr:colOff>342900</xdr:colOff>
          <xdr:row>32</xdr:row>
          <xdr:rowOff>266700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32</xdr:row>
          <xdr:rowOff>38100</xdr:rowOff>
        </xdr:from>
        <xdr:to>
          <xdr:col>21</xdr:col>
          <xdr:colOff>342900</xdr:colOff>
          <xdr:row>32</xdr:row>
          <xdr:rowOff>266700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32</xdr:row>
          <xdr:rowOff>38100</xdr:rowOff>
        </xdr:from>
        <xdr:to>
          <xdr:col>22</xdr:col>
          <xdr:colOff>342900</xdr:colOff>
          <xdr:row>32</xdr:row>
          <xdr:rowOff>266700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32</xdr:row>
          <xdr:rowOff>38100</xdr:rowOff>
        </xdr:from>
        <xdr:to>
          <xdr:col>23</xdr:col>
          <xdr:colOff>342900</xdr:colOff>
          <xdr:row>32</xdr:row>
          <xdr:rowOff>266700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32</xdr:row>
          <xdr:rowOff>38100</xdr:rowOff>
        </xdr:from>
        <xdr:to>
          <xdr:col>24</xdr:col>
          <xdr:colOff>342900</xdr:colOff>
          <xdr:row>32</xdr:row>
          <xdr:rowOff>266700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32</xdr:row>
          <xdr:rowOff>38100</xdr:rowOff>
        </xdr:from>
        <xdr:to>
          <xdr:col>25</xdr:col>
          <xdr:colOff>342900</xdr:colOff>
          <xdr:row>32</xdr:row>
          <xdr:rowOff>266700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32</xdr:row>
          <xdr:rowOff>38100</xdr:rowOff>
        </xdr:from>
        <xdr:to>
          <xdr:col>26</xdr:col>
          <xdr:colOff>342900</xdr:colOff>
          <xdr:row>32</xdr:row>
          <xdr:rowOff>266700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32</xdr:row>
          <xdr:rowOff>38100</xdr:rowOff>
        </xdr:from>
        <xdr:to>
          <xdr:col>27</xdr:col>
          <xdr:colOff>342900</xdr:colOff>
          <xdr:row>32</xdr:row>
          <xdr:rowOff>266700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32</xdr:row>
          <xdr:rowOff>38100</xdr:rowOff>
        </xdr:from>
        <xdr:to>
          <xdr:col>28</xdr:col>
          <xdr:colOff>342900</xdr:colOff>
          <xdr:row>32</xdr:row>
          <xdr:rowOff>266700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32</xdr:row>
          <xdr:rowOff>38100</xdr:rowOff>
        </xdr:from>
        <xdr:to>
          <xdr:col>29</xdr:col>
          <xdr:colOff>342900</xdr:colOff>
          <xdr:row>32</xdr:row>
          <xdr:rowOff>266700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32</xdr:row>
          <xdr:rowOff>38100</xdr:rowOff>
        </xdr:from>
        <xdr:to>
          <xdr:col>30</xdr:col>
          <xdr:colOff>342900</xdr:colOff>
          <xdr:row>32</xdr:row>
          <xdr:rowOff>266700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32</xdr:row>
          <xdr:rowOff>38100</xdr:rowOff>
        </xdr:from>
        <xdr:to>
          <xdr:col>31</xdr:col>
          <xdr:colOff>342900</xdr:colOff>
          <xdr:row>32</xdr:row>
          <xdr:rowOff>266700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32</xdr:row>
          <xdr:rowOff>38100</xdr:rowOff>
        </xdr:from>
        <xdr:to>
          <xdr:col>32</xdr:col>
          <xdr:colOff>342900</xdr:colOff>
          <xdr:row>32</xdr:row>
          <xdr:rowOff>266700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32</xdr:row>
          <xdr:rowOff>38100</xdr:rowOff>
        </xdr:from>
        <xdr:to>
          <xdr:col>33</xdr:col>
          <xdr:colOff>342900</xdr:colOff>
          <xdr:row>32</xdr:row>
          <xdr:rowOff>266700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32</xdr:row>
          <xdr:rowOff>38100</xdr:rowOff>
        </xdr:from>
        <xdr:to>
          <xdr:col>34</xdr:col>
          <xdr:colOff>342900</xdr:colOff>
          <xdr:row>32</xdr:row>
          <xdr:rowOff>266700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32</xdr:row>
          <xdr:rowOff>38100</xdr:rowOff>
        </xdr:from>
        <xdr:to>
          <xdr:col>35</xdr:col>
          <xdr:colOff>342900</xdr:colOff>
          <xdr:row>32</xdr:row>
          <xdr:rowOff>266700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32</xdr:row>
          <xdr:rowOff>38100</xdr:rowOff>
        </xdr:from>
        <xdr:to>
          <xdr:col>36</xdr:col>
          <xdr:colOff>342900</xdr:colOff>
          <xdr:row>32</xdr:row>
          <xdr:rowOff>266700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32</xdr:row>
          <xdr:rowOff>38100</xdr:rowOff>
        </xdr:from>
        <xdr:to>
          <xdr:col>37</xdr:col>
          <xdr:colOff>342900</xdr:colOff>
          <xdr:row>32</xdr:row>
          <xdr:rowOff>266700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33</xdr:row>
          <xdr:rowOff>38100</xdr:rowOff>
        </xdr:from>
        <xdr:to>
          <xdr:col>7</xdr:col>
          <xdr:colOff>342900</xdr:colOff>
          <xdr:row>33</xdr:row>
          <xdr:rowOff>266700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33</xdr:row>
          <xdr:rowOff>38100</xdr:rowOff>
        </xdr:from>
        <xdr:to>
          <xdr:col>8</xdr:col>
          <xdr:colOff>342900</xdr:colOff>
          <xdr:row>33</xdr:row>
          <xdr:rowOff>266700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33</xdr:row>
          <xdr:rowOff>38100</xdr:rowOff>
        </xdr:from>
        <xdr:to>
          <xdr:col>9</xdr:col>
          <xdr:colOff>342900</xdr:colOff>
          <xdr:row>33</xdr:row>
          <xdr:rowOff>266700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33</xdr:row>
          <xdr:rowOff>38100</xdr:rowOff>
        </xdr:from>
        <xdr:to>
          <xdr:col>10</xdr:col>
          <xdr:colOff>342900</xdr:colOff>
          <xdr:row>33</xdr:row>
          <xdr:rowOff>266700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33</xdr:row>
          <xdr:rowOff>38100</xdr:rowOff>
        </xdr:from>
        <xdr:to>
          <xdr:col>11</xdr:col>
          <xdr:colOff>342900</xdr:colOff>
          <xdr:row>33</xdr:row>
          <xdr:rowOff>266700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33</xdr:row>
          <xdr:rowOff>38100</xdr:rowOff>
        </xdr:from>
        <xdr:to>
          <xdr:col>12</xdr:col>
          <xdr:colOff>342900</xdr:colOff>
          <xdr:row>33</xdr:row>
          <xdr:rowOff>266700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33</xdr:row>
          <xdr:rowOff>38100</xdr:rowOff>
        </xdr:from>
        <xdr:to>
          <xdr:col>13</xdr:col>
          <xdr:colOff>342900</xdr:colOff>
          <xdr:row>33</xdr:row>
          <xdr:rowOff>266700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33</xdr:row>
          <xdr:rowOff>38100</xdr:rowOff>
        </xdr:from>
        <xdr:to>
          <xdr:col>14</xdr:col>
          <xdr:colOff>342900</xdr:colOff>
          <xdr:row>33</xdr:row>
          <xdr:rowOff>266700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33</xdr:row>
          <xdr:rowOff>38100</xdr:rowOff>
        </xdr:from>
        <xdr:to>
          <xdr:col>15</xdr:col>
          <xdr:colOff>342900</xdr:colOff>
          <xdr:row>33</xdr:row>
          <xdr:rowOff>266700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33</xdr:row>
          <xdr:rowOff>38100</xdr:rowOff>
        </xdr:from>
        <xdr:to>
          <xdr:col>16</xdr:col>
          <xdr:colOff>342900</xdr:colOff>
          <xdr:row>33</xdr:row>
          <xdr:rowOff>266700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33</xdr:row>
          <xdr:rowOff>38100</xdr:rowOff>
        </xdr:from>
        <xdr:to>
          <xdr:col>17</xdr:col>
          <xdr:colOff>342900</xdr:colOff>
          <xdr:row>33</xdr:row>
          <xdr:rowOff>266700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33</xdr:row>
          <xdr:rowOff>38100</xdr:rowOff>
        </xdr:from>
        <xdr:to>
          <xdr:col>18</xdr:col>
          <xdr:colOff>342900</xdr:colOff>
          <xdr:row>33</xdr:row>
          <xdr:rowOff>266700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33</xdr:row>
          <xdr:rowOff>38100</xdr:rowOff>
        </xdr:from>
        <xdr:to>
          <xdr:col>19</xdr:col>
          <xdr:colOff>342900</xdr:colOff>
          <xdr:row>33</xdr:row>
          <xdr:rowOff>266700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33</xdr:row>
          <xdr:rowOff>38100</xdr:rowOff>
        </xdr:from>
        <xdr:to>
          <xdr:col>20</xdr:col>
          <xdr:colOff>342900</xdr:colOff>
          <xdr:row>33</xdr:row>
          <xdr:rowOff>266700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33</xdr:row>
          <xdr:rowOff>38100</xdr:rowOff>
        </xdr:from>
        <xdr:to>
          <xdr:col>21</xdr:col>
          <xdr:colOff>342900</xdr:colOff>
          <xdr:row>33</xdr:row>
          <xdr:rowOff>266700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33</xdr:row>
          <xdr:rowOff>38100</xdr:rowOff>
        </xdr:from>
        <xdr:to>
          <xdr:col>22</xdr:col>
          <xdr:colOff>342900</xdr:colOff>
          <xdr:row>33</xdr:row>
          <xdr:rowOff>266700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33</xdr:row>
          <xdr:rowOff>38100</xdr:rowOff>
        </xdr:from>
        <xdr:to>
          <xdr:col>23</xdr:col>
          <xdr:colOff>342900</xdr:colOff>
          <xdr:row>33</xdr:row>
          <xdr:rowOff>266700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33</xdr:row>
          <xdr:rowOff>38100</xdr:rowOff>
        </xdr:from>
        <xdr:to>
          <xdr:col>24</xdr:col>
          <xdr:colOff>342900</xdr:colOff>
          <xdr:row>33</xdr:row>
          <xdr:rowOff>266700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33</xdr:row>
          <xdr:rowOff>38100</xdr:rowOff>
        </xdr:from>
        <xdr:to>
          <xdr:col>25</xdr:col>
          <xdr:colOff>342900</xdr:colOff>
          <xdr:row>33</xdr:row>
          <xdr:rowOff>266700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33</xdr:row>
          <xdr:rowOff>38100</xdr:rowOff>
        </xdr:from>
        <xdr:to>
          <xdr:col>26</xdr:col>
          <xdr:colOff>342900</xdr:colOff>
          <xdr:row>33</xdr:row>
          <xdr:rowOff>266700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33</xdr:row>
          <xdr:rowOff>38100</xdr:rowOff>
        </xdr:from>
        <xdr:to>
          <xdr:col>27</xdr:col>
          <xdr:colOff>342900</xdr:colOff>
          <xdr:row>33</xdr:row>
          <xdr:rowOff>266700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33</xdr:row>
          <xdr:rowOff>38100</xdr:rowOff>
        </xdr:from>
        <xdr:to>
          <xdr:col>28</xdr:col>
          <xdr:colOff>342900</xdr:colOff>
          <xdr:row>33</xdr:row>
          <xdr:rowOff>266700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33</xdr:row>
          <xdr:rowOff>38100</xdr:rowOff>
        </xdr:from>
        <xdr:to>
          <xdr:col>29</xdr:col>
          <xdr:colOff>342900</xdr:colOff>
          <xdr:row>33</xdr:row>
          <xdr:rowOff>266700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33</xdr:row>
          <xdr:rowOff>38100</xdr:rowOff>
        </xdr:from>
        <xdr:to>
          <xdr:col>30</xdr:col>
          <xdr:colOff>342900</xdr:colOff>
          <xdr:row>33</xdr:row>
          <xdr:rowOff>266700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33</xdr:row>
          <xdr:rowOff>38100</xdr:rowOff>
        </xdr:from>
        <xdr:to>
          <xdr:col>31</xdr:col>
          <xdr:colOff>342900</xdr:colOff>
          <xdr:row>33</xdr:row>
          <xdr:rowOff>266700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33</xdr:row>
          <xdr:rowOff>38100</xdr:rowOff>
        </xdr:from>
        <xdr:to>
          <xdr:col>32</xdr:col>
          <xdr:colOff>342900</xdr:colOff>
          <xdr:row>33</xdr:row>
          <xdr:rowOff>266700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33</xdr:row>
          <xdr:rowOff>38100</xdr:rowOff>
        </xdr:from>
        <xdr:to>
          <xdr:col>33</xdr:col>
          <xdr:colOff>342900</xdr:colOff>
          <xdr:row>33</xdr:row>
          <xdr:rowOff>266700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33</xdr:row>
          <xdr:rowOff>38100</xdr:rowOff>
        </xdr:from>
        <xdr:to>
          <xdr:col>34</xdr:col>
          <xdr:colOff>342900</xdr:colOff>
          <xdr:row>33</xdr:row>
          <xdr:rowOff>266700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33</xdr:row>
          <xdr:rowOff>38100</xdr:rowOff>
        </xdr:from>
        <xdr:to>
          <xdr:col>35</xdr:col>
          <xdr:colOff>342900</xdr:colOff>
          <xdr:row>33</xdr:row>
          <xdr:rowOff>266700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33</xdr:row>
          <xdr:rowOff>38100</xdr:rowOff>
        </xdr:from>
        <xdr:to>
          <xdr:col>36</xdr:col>
          <xdr:colOff>342900</xdr:colOff>
          <xdr:row>33</xdr:row>
          <xdr:rowOff>266700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33</xdr:row>
          <xdr:rowOff>38100</xdr:rowOff>
        </xdr:from>
        <xdr:to>
          <xdr:col>37</xdr:col>
          <xdr:colOff>342900</xdr:colOff>
          <xdr:row>33</xdr:row>
          <xdr:rowOff>266700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34</xdr:row>
          <xdr:rowOff>38100</xdr:rowOff>
        </xdr:from>
        <xdr:to>
          <xdr:col>7</xdr:col>
          <xdr:colOff>342900</xdr:colOff>
          <xdr:row>34</xdr:row>
          <xdr:rowOff>266700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34</xdr:row>
          <xdr:rowOff>38100</xdr:rowOff>
        </xdr:from>
        <xdr:to>
          <xdr:col>8</xdr:col>
          <xdr:colOff>342900</xdr:colOff>
          <xdr:row>34</xdr:row>
          <xdr:rowOff>266700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34</xdr:row>
          <xdr:rowOff>38100</xdr:rowOff>
        </xdr:from>
        <xdr:to>
          <xdr:col>9</xdr:col>
          <xdr:colOff>342900</xdr:colOff>
          <xdr:row>34</xdr:row>
          <xdr:rowOff>266700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34</xdr:row>
          <xdr:rowOff>38100</xdr:rowOff>
        </xdr:from>
        <xdr:to>
          <xdr:col>10</xdr:col>
          <xdr:colOff>342900</xdr:colOff>
          <xdr:row>34</xdr:row>
          <xdr:rowOff>266700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34</xdr:row>
          <xdr:rowOff>38100</xdr:rowOff>
        </xdr:from>
        <xdr:to>
          <xdr:col>11</xdr:col>
          <xdr:colOff>342900</xdr:colOff>
          <xdr:row>34</xdr:row>
          <xdr:rowOff>266700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34</xdr:row>
          <xdr:rowOff>38100</xdr:rowOff>
        </xdr:from>
        <xdr:to>
          <xdr:col>12</xdr:col>
          <xdr:colOff>342900</xdr:colOff>
          <xdr:row>34</xdr:row>
          <xdr:rowOff>266700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34</xdr:row>
          <xdr:rowOff>38100</xdr:rowOff>
        </xdr:from>
        <xdr:to>
          <xdr:col>13</xdr:col>
          <xdr:colOff>342900</xdr:colOff>
          <xdr:row>34</xdr:row>
          <xdr:rowOff>266700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34</xdr:row>
          <xdr:rowOff>38100</xdr:rowOff>
        </xdr:from>
        <xdr:to>
          <xdr:col>14</xdr:col>
          <xdr:colOff>342900</xdr:colOff>
          <xdr:row>34</xdr:row>
          <xdr:rowOff>266700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34</xdr:row>
          <xdr:rowOff>38100</xdr:rowOff>
        </xdr:from>
        <xdr:to>
          <xdr:col>15</xdr:col>
          <xdr:colOff>342900</xdr:colOff>
          <xdr:row>34</xdr:row>
          <xdr:rowOff>266700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34</xdr:row>
          <xdr:rowOff>38100</xdr:rowOff>
        </xdr:from>
        <xdr:to>
          <xdr:col>16</xdr:col>
          <xdr:colOff>342900</xdr:colOff>
          <xdr:row>34</xdr:row>
          <xdr:rowOff>266700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34</xdr:row>
          <xdr:rowOff>38100</xdr:rowOff>
        </xdr:from>
        <xdr:to>
          <xdr:col>17</xdr:col>
          <xdr:colOff>342900</xdr:colOff>
          <xdr:row>34</xdr:row>
          <xdr:rowOff>266700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34</xdr:row>
          <xdr:rowOff>38100</xdr:rowOff>
        </xdr:from>
        <xdr:to>
          <xdr:col>18</xdr:col>
          <xdr:colOff>342900</xdr:colOff>
          <xdr:row>34</xdr:row>
          <xdr:rowOff>266700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34</xdr:row>
          <xdr:rowOff>38100</xdr:rowOff>
        </xdr:from>
        <xdr:to>
          <xdr:col>19</xdr:col>
          <xdr:colOff>342900</xdr:colOff>
          <xdr:row>34</xdr:row>
          <xdr:rowOff>266700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34</xdr:row>
          <xdr:rowOff>38100</xdr:rowOff>
        </xdr:from>
        <xdr:to>
          <xdr:col>20</xdr:col>
          <xdr:colOff>342900</xdr:colOff>
          <xdr:row>34</xdr:row>
          <xdr:rowOff>266700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34</xdr:row>
          <xdr:rowOff>38100</xdr:rowOff>
        </xdr:from>
        <xdr:to>
          <xdr:col>21</xdr:col>
          <xdr:colOff>342900</xdr:colOff>
          <xdr:row>34</xdr:row>
          <xdr:rowOff>266700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34</xdr:row>
          <xdr:rowOff>38100</xdr:rowOff>
        </xdr:from>
        <xdr:to>
          <xdr:col>22</xdr:col>
          <xdr:colOff>342900</xdr:colOff>
          <xdr:row>34</xdr:row>
          <xdr:rowOff>266700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34</xdr:row>
          <xdr:rowOff>38100</xdr:rowOff>
        </xdr:from>
        <xdr:to>
          <xdr:col>23</xdr:col>
          <xdr:colOff>342900</xdr:colOff>
          <xdr:row>34</xdr:row>
          <xdr:rowOff>266700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34</xdr:row>
          <xdr:rowOff>38100</xdr:rowOff>
        </xdr:from>
        <xdr:to>
          <xdr:col>24</xdr:col>
          <xdr:colOff>342900</xdr:colOff>
          <xdr:row>34</xdr:row>
          <xdr:rowOff>266700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34</xdr:row>
          <xdr:rowOff>38100</xdr:rowOff>
        </xdr:from>
        <xdr:to>
          <xdr:col>25</xdr:col>
          <xdr:colOff>342900</xdr:colOff>
          <xdr:row>34</xdr:row>
          <xdr:rowOff>266700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34</xdr:row>
          <xdr:rowOff>38100</xdr:rowOff>
        </xdr:from>
        <xdr:to>
          <xdr:col>26</xdr:col>
          <xdr:colOff>342900</xdr:colOff>
          <xdr:row>34</xdr:row>
          <xdr:rowOff>266700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34</xdr:row>
          <xdr:rowOff>38100</xdr:rowOff>
        </xdr:from>
        <xdr:to>
          <xdr:col>27</xdr:col>
          <xdr:colOff>342900</xdr:colOff>
          <xdr:row>34</xdr:row>
          <xdr:rowOff>266700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34</xdr:row>
          <xdr:rowOff>38100</xdr:rowOff>
        </xdr:from>
        <xdr:to>
          <xdr:col>28</xdr:col>
          <xdr:colOff>342900</xdr:colOff>
          <xdr:row>34</xdr:row>
          <xdr:rowOff>266700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34</xdr:row>
          <xdr:rowOff>38100</xdr:rowOff>
        </xdr:from>
        <xdr:to>
          <xdr:col>29</xdr:col>
          <xdr:colOff>342900</xdr:colOff>
          <xdr:row>34</xdr:row>
          <xdr:rowOff>266700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34</xdr:row>
          <xdr:rowOff>38100</xdr:rowOff>
        </xdr:from>
        <xdr:to>
          <xdr:col>30</xdr:col>
          <xdr:colOff>342900</xdr:colOff>
          <xdr:row>34</xdr:row>
          <xdr:rowOff>266700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34</xdr:row>
          <xdr:rowOff>38100</xdr:rowOff>
        </xdr:from>
        <xdr:to>
          <xdr:col>31</xdr:col>
          <xdr:colOff>342900</xdr:colOff>
          <xdr:row>34</xdr:row>
          <xdr:rowOff>266700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34</xdr:row>
          <xdr:rowOff>38100</xdr:rowOff>
        </xdr:from>
        <xdr:to>
          <xdr:col>32</xdr:col>
          <xdr:colOff>342900</xdr:colOff>
          <xdr:row>34</xdr:row>
          <xdr:rowOff>266700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34</xdr:row>
          <xdr:rowOff>38100</xdr:rowOff>
        </xdr:from>
        <xdr:to>
          <xdr:col>33</xdr:col>
          <xdr:colOff>342900</xdr:colOff>
          <xdr:row>34</xdr:row>
          <xdr:rowOff>266700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34</xdr:row>
          <xdr:rowOff>38100</xdr:rowOff>
        </xdr:from>
        <xdr:to>
          <xdr:col>34</xdr:col>
          <xdr:colOff>342900</xdr:colOff>
          <xdr:row>34</xdr:row>
          <xdr:rowOff>266700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34</xdr:row>
          <xdr:rowOff>38100</xdr:rowOff>
        </xdr:from>
        <xdr:to>
          <xdr:col>35</xdr:col>
          <xdr:colOff>342900</xdr:colOff>
          <xdr:row>34</xdr:row>
          <xdr:rowOff>266700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34</xdr:row>
          <xdr:rowOff>38100</xdr:rowOff>
        </xdr:from>
        <xdr:to>
          <xdr:col>36</xdr:col>
          <xdr:colOff>342900</xdr:colOff>
          <xdr:row>34</xdr:row>
          <xdr:rowOff>266700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34</xdr:row>
          <xdr:rowOff>38100</xdr:rowOff>
        </xdr:from>
        <xdr:to>
          <xdr:col>37</xdr:col>
          <xdr:colOff>342900</xdr:colOff>
          <xdr:row>34</xdr:row>
          <xdr:rowOff>266700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35</xdr:row>
          <xdr:rowOff>38100</xdr:rowOff>
        </xdr:from>
        <xdr:to>
          <xdr:col>7</xdr:col>
          <xdr:colOff>342900</xdr:colOff>
          <xdr:row>35</xdr:row>
          <xdr:rowOff>266700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35</xdr:row>
          <xdr:rowOff>38100</xdr:rowOff>
        </xdr:from>
        <xdr:to>
          <xdr:col>8</xdr:col>
          <xdr:colOff>342900</xdr:colOff>
          <xdr:row>35</xdr:row>
          <xdr:rowOff>266700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35</xdr:row>
          <xdr:rowOff>38100</xdr:rowOff>
        </xdr:from>
        <xdr:to>
          <xdr:col>9</xdr:col>
          <xdr:colOff>342900</xdr:colOff>
          <xdr:row>35</xdr:row>
          <xdr:rowOff>266700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35</xdr:row>
          <xdr:rowOff>38100</xdr:rowOff>
        </xdr:from>
        <xdr:to>
          <xdr:col>10</xdr:col>
          <xdr:colOff>342900</xdr:colOff>
          <xdr:row>35</xdr:row>
          <xdr:rowOff>266700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35</xdr:row>
          <xdr:rowOff>38100</xdr:rowOff>
        </xdr:from>
        <xdr:to>
          <xdr:col>11</xdr:col>
          <xdr:colOff>342900</xdr:colOff>
          <xdr:row>35</xdr:row>
          <xdr:rowOff>266700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35</xdr:row>
          <xdr:rowOff>38100</xdr:rowOff>
        </xdr:from>
        <xdr:to>
          <xdr:col>12</xdr:col>
          <xdr:colOff>342900</xdr:colOff>
          <xdr:row>35</xdr:row>
          <xdr:rowOff>266700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35</xdr:row>
          <xdr:rowOff>38100</xdr:rowOff>
        </xdr:from>
        <xdr:to>
          <xdr:col>13</xdr:col>
          <xdr:colOff>342900</xdr:colOff>
          <xdr:row>35</xdr:row>
          <xdr:rowOff>266700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35</xdr:row>
          <xdr:rowOff>38100</xdr:rowOff>
        </xdr:from>
        <xdr:to>
          <xdr:col>14</xdr:col>
          <xdr:colOff>342900</xdr:colOff>
          <xdr:row>35</xdr:row>
          <xdr:rowOff>266700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35</xdr:row>
          <xdr:rowOff>38100</xdr:rowOff>
        </xdr:from>
        <xdr:to>
          <xdr:col>15</xdr:col>
          <xdr:colOff>342900</xdr:colOff>
          <xdr:row>35</xdr:row>
          <xdr:rowOff>266700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35</xdr:row>
          <xdr:rowOff>38100</xdr:rowOff>
        </xdr:from>
        <xdr:to>
          <xdr:col>16</xdr:col>
          <xdr:colOff>342900</xdr:colOff>
          <xdr:row>35</xdr:row>
          <xdr:rowOff>266700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35</xdr:row>
          <xdr:rowOff>38100</xdr:rowOff>
        </xdr:from>
        <xdr:to>
          <xdr:col>17</xdr:col>
          <xdr:colOff>342900</xdr:colOff>
          <xdr:row>35</xdr:row>
          <xdr:rowOff>266700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35</xdr:row>
          <xdr:rowOff>38100</xdr:rowOff>
        </xdr:from>
        <xdr:to>
          <xdr:col>18</xdr:col>
          <xdr:colOff>342900</xdr:colOff>
          <xdr:row>35</xdr:row>
          <xdr:rowOff>266700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35</xdr:row>
          <xdr:rowOff>38100</xdr:rowOff>
        </xdr:from>
        <xdr:to>
          <xdr:col>19</xdr:col>
          <xdr:colOff>342900</xdr:colOff>
          <xdr:row>35</xdr:row>
          <xdr:rowOff>266700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35</xdr:row>
          <xdr:rowOff>38100</xdr:rowOff>
        </xdr:from>
        <xdr:to>
          <xdr:col>20</xdr:col>
          <xdr:colOff>342900</xdr:colOff>
          <xdr:row>35</xdr:row>
          <xdr:rowOff>266700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35</xdr:row>
          <xdr:rowOff>38100</xdr:rowOff>
        </xdr:from>
        <xdr:to>
          <xdr:col>21</xdr:col>
          <xdr:colOff>342900</xdr:colOff>
          <xdr:row>35</xdr:row>
          <xdr:rowOff>266700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35</xdr:row>
          <xdr:rowOff>38100</xdr:rowOff>
        </xdr:from>
        <xdr:to>
          <xdr:col>22</xdr:col>
          <xdr:colOff>342900</xdr:colOff>
          <xdr:row>35</xdr:row>
          <xdr:rowOff>266700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35</xdr:row>
          <xdr:rowOff>38100</xdr:rowOff>
        </xdr:from>
        <xdr:to>
          <xdr:col>23</xdr:col>
          <xdr:colOff>342900</xdr:colOff>
          <xdr:row>35</xdr:row>
          <xdr:rowOff>266700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35</xdr:row>
          <xdr:rowOff>38100</xdr:rowOff>
        </xdr:from>
        <xdr:to>
          <xdr:col>24</xdr:col>
          <xdr:colOff>342900</xdr:colOff>
          <xdr:row>35</xdr:row>
          <xdr:rowOff>266700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35</xdr:row>
          <xdr:rowOff>38100</xdr:rowOff>
        </xdr:from>
        <xdr:to>
          <xdr:col>25</xdr:col>
          <xdr:colOff>342900</xdr:colOff>
          <xdr:row>35</xdr:row>
          <xdr:rowOff>266700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35</xdr:row>
          <xdr:rowOff>38100</xdr:rowOff>
        </xdr:from>
        <xdr:to>
          <xdr:col>26</xdr:col>
          <xdr:colOff>342900</xdr:colOff>
          <xdr:row>35</xdr:row>
          <xdr:rowOff>266700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35</xdr:row>
          <xdr:rowOff>38100</xdr:rowOff>
        </xdr:from>
        <xdr:to>
          <xdr:col>27</xdr:col>
          <xdr:colOff>342900</xdr:colOff>
          <xdr:row>35</xdr:row>
          <xdr:rowOff>266700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35</xdr:row>
          <xdr:rowOff>38100</xdr:rowOff>
        </xdr:from>
        <xdr:to>
          <xdr:col>28</xdr:col>
          <xdr:colOff>342900</xdr:colOff>
          <xdr:row>35</xdr:row>
          <xdr:rowOff>266700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35</xdr:row>
          <xdr:rowOff>38100</xdr:rowOff>
        </xdr:from>
        <xdr:to>
          <xdr:col>29</xdr:col>
          <xdr:colOff>342900</xdr:colOff>
          <xdr:row>35</xdr:row>
          <xdr:rowOff>266700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35</xdr:row>
          <xdr:rowOff>38100</xdr:rowOff>
        </xdr:from>
        <xdr:to>
          <xdr:col>30</xdr:col>
          <xdr:colOff>342900</xdr:colOff>
          <xdr:row>35</xdr:row>
          <xdr:rowOff>266700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35</xdr:row>
          <xdr:rowOff>38100</xdr:rowOff>
        </xdr:from>
        <xdr:to>
          <xdr:col>31</xdr:col>
          <xdr:colOff>342900</xdr:colOff>
          <xdr:row>35</xdr:row>
          <xdr:rowOff>266700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35</xdr:row>
          <xdr:rowOff>38100</xdr:rowOff>
        </xdr:from>
        <xdr:to>
          <xdr:col>32</xdr:col>
          <xdr:colOff>342900</xdr:colOff>
          <xdr:row>35</xdr:row>
          <xdr:rowOff>266700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35</xdr:row>
          <xdr:rowOff>38100</xdr:rowOff>
        </xdr:from>
        <xdr:to>
          <xdr:col>33</xdr:col>
          <xdr:colOff>342900</xdr:colOff>
          <xdr:row>35</xdr:row>
          <xdr:rowOff>266700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35</xdr:row>
          <xdr:rowOff>38100</xdr:rowOff>
        </xdr:from>
        <xdr:to>
          <xdr:col>34</xdr:col>
          <xdr:colOff>342900</xdr:colOff>
          <xdr:row>35</xdr:row>
          <xdr:rowOff>266700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35</xdr:row>
          <xdr:rowOff>38100</xdr:rowOff>
        </xdr:from>
        <xdr:to>
          <xdr:col>35</xdr:col>
          <xdr:colOff>342900</xdr:colOff>
          <xdr:row>35</xdr:row>
          <xdr:rowOff>266700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35</xdr:row>
          <xdr:rowOff>38100</xdr:rowOff>
        </xdr:from>
        <xdr:to>
          <xdr:col>36</xdr:col>
          <xdr:colOff>342900</xdr:colOff>
          <xdr:row>35</xdr:row>
          <xdr:rowOff>266700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35</xdr:row>
          <xdr:rowOff>38100</xdr:rowOff>
        </xdr:from>
        <xdr:to>
          <xdr:col>37</xdr:col>
          <xdr:colOff>342900</xdr:colOff>
          <xdr:row>35</xdr:row>
          <xdr:rowOff>266700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36</xdr:row>
          <xdr:rowOff>38100</xdr:rowOff>
        </xdr:from>
        <xdr:to>
          <xdr:col>7</xdr:col>
          <xdr:colOff>342900</xdr:colOff>
          <xdr:row>36</xdr:row>
          <xdr:rowOff>266700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36</xdr:row>
          <xdr:rowOff>38100</xdr:rowOff>
        </xdr:from>
        <xdr:to>
          <xdr:col>8</xdr:col>
          <xdr:colOff>342900</xdr:colOff>
          <xdr:row>36</xdr:row>
          <xdr:rowOff>266700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36</xdr:row>
          <xdr:rowOff>38100</xdr:rowOff>
        </xdr:from>
        <xdr:to>
          <xdr:col>9</xdr:col>
          <xdr:colOff>342900</xdr:colOff>
          <xdr:row>36</xdr:row>
          <xdr:rowOff>266700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36</xdr:row>
          <xdr:rowOff>38100</xdr:rowOff>
        </xdr:from>
        <xdr:to>
          <xdr:col>10</xdr:col>
          <xdr:colOff>342900</xdr:colOff>
          <xdr:row>36</xdr:row>
          <xdr:rowOff>266700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36</xdr:row>
          <xdr:rowOff>38100</xdr:rowOff>
        </xdr:from>
        <xdr:to>
          <xdr:col>11</xdr:col>
          <xdr:colOff>342900</xdr:colOff>
          <xdr:row>36</xdr:row>
          <xdr:rowOff>266700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36</xdr:row>
          <xdr:rowOff>38100</xdr:rowOff>
        </xdr:from>
        <xdr:to>
          <xdr:col>12</xdr:col>
          <xdr:colOff>342900</xdr:colOff>
          <xdr:row>36</xdr:row>
          <xdr:rowOff>266700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36</xdr:row>
          <xdr:rowOff>38100</xdr:rowOff>
        </xdr:from>
        <xdr:to>
          <xdr:col>13</xdr:col>
          <xdr:colOff>342900</xdr:colOff>
          <xdr:row>36</xdr:row>
          <xdr:rowOff>266700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36</xdr:row>
          <xdr:rowOff>38100</xdr:rowOff>
        </xdr:from>
        <xdr:to>
          <xdr:col>14</xdr:col>
          <xdr:colOff>342900</xdr:colOff>
          <xdr:row>36</xdr:row>
          <xdr:rowOff>266700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36</xdr:row>
          <xdr:rowOff>38100</xdr:rowOff>
        </xdr:from>
        <xdr:to>
          <xdr:col>15</xdr:col>
          <xdr:colOff>342900</xdr:colOff>
          <xdr:row>36</xdr:row>
          <xdr:rowOff>266700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36</xdr:row>
          <xdr:rowOff>38100</xdr:rowOff>
        </xdr:from>
        <xdr:to>
          <xdr:col>16</xdr:col>
          <xdr:colOff>342900</xdr:colOff>
          <xdr:row>36</xdr:row>
          <xdr:rowOff>266700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36</xdr:row>
          <xdr:rowOff>38100</xdr:rowOff>
        </xdr:from>
        <xdr:to>
          <xdr:col>17</xdr:col>
          <xdr:colOff>342900</xdr:colOff>
          <xdr:row>36</xdr:row>
          <xdr:rowOff>266700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36</xdr:row>
          <xdr:rowOff>38100</xdr:rowOff>
        </xdr:from>
        <xdr:to>
          <xdr:col>18</xdr:col>
          <xdr:colOff>342900</xdr:colOff>
          <xdr:row>36</xdr:row>
          <xdr:rowOff>266700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36</xdr:row>
          <xdr:rowOff>38100</xdr:rowOff>
        </xdr:from>
        <xdr:to>
          <xdr:col>19</xdr:col>
          <xdr:colOff>342900</xdr:colOff>
          <xdr:row>36</xdr:row>
          <xdr:rowOff>266700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36</xdr:row>
          <xdr:rowOff>38100</xdr:rowOff>
        </xdr:from>
        <xdr:to>
          <xdr:col>20</xdr:col>
          <xdr:colOff>342900</xdr:colOff>
          <xdr:row>36</xdr:row>
          <xdr:rowOff>266700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36</xdr:row>
          <xdr:rowOff>38100</xdr:rowOff>
        </xdr:from>
        <xdr:to>
          <xdr:col>21</xdr:col>
          <xdr:colOff>342900</xdr:colOff>
          <xdr:row>36</xdr:row>
          <xdr:rowOff>266700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36</xdr:row>
          <xdr:rowOff>38100</xdr:rowOff>
        </xdr:from>
        <xdr:to>
          <xdr:col>22</xdr:col>
          <xdr:colOff>342900</xdr:colOff>
          <xdr:row>36</xdr:row>
          <xdr:rowOff>266700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36</xdr:row>
          <xdr:rowOff>38100</xdr:rowOff>
        </xdr:from>
        <xdr:to>
          <xdr:col>23</xdr:col>
          <xdr:colOff>342900</xdr:colOff>
          <xdr:row>36</xdr:row>
          <xdr:rowOff>266700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36</xdr:row>
          <xdr:rowOff>38100</xdr:rowOff>
        </xdr:from>
        <xdr:to>
          <xdr:col>24</xdr:col>
          <xdr:colOff>342900</xdr:colOff>
          <xdr:row>36</xdr:row>
          <xdr:rowOff>266700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36</xdr:row>
          <xdr:rowOff>38100</xdr:rowOff>
        </xdr:from>
        <xdr:to>
          <xdr:col>25</xdr:col>
          <xdr:colOff>342900</xdr:colOff>
          <xdr:row>36</xdr:row>
          <xdr:rowOff>266700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36</xdr:row>
          <xdr:rowOff>38100</xdr:rowOff>
        </xdr:from>
        <xdr:to>
          <xdr:col>26</xdr:col>
          <xdr:colOff>342900</xdr:colOff>
          <xdr:row>36</xdr:row>
          <xdr:rowOff>266700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36</xdr:row>
          <xdr:rowOff>38100</xdr:rowOff>
        </xdr:from>
        <xdr:to>
          <xdr:col>27</xdr:col>
          <xdr:colOff>342900</xdr:colOff>
          <xdr:row>36</xdr:row>
          <xdr:rowOff>266700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36</xdr:row>
          <xdr:rowOff>38100</xdr:rowOff>
        </xdr:from>
        <xdr:to>
          <xdr:col>28</xdr:col>
          <xdr:colOff>342900</xdr:colOff>
          <xdr:row>36</xdr:row>
          <xdr:rowOff>266700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36</xdr:row>
          <xdr:rowOff>38100</xdr:rowOff>
        </xdr:from>
        <xdr:to>
          <xdr:col>29</xdr:col>
          <xdr:colOff>342900</xdr:colOff>
          <xdr:row>36</xdr:row>
          <xdr:rowOff>266700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36</xdr:row>
          <xdr:rowOff>38100</xdr:rowOff>
        </xdr:from>
        <xdr:to>
          <xdr:col>30</xdr:col>
          <xdr:colOff>342900</xdr:colOff>
          <xdr:row>36</xdr:row>
          <xdr:rowOff>266700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36</xdr:row>
          <xdr:rowOff>38100</xdr:rowOff>
        </xdr:from>
        <xdr:to>
          <xdr:col>31</xdr:col>
          <xdr:colOff>342900</xdr:colOff>
          <xdr:row>36</xdr:row>
          <xdr:rowOff>266700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36</xdr:row>
          <xdr:rowOff>38100</xdr:rowOff>
        </xdr:from>
        <xdr:to>
          <xdr:col>32</xdr:col>
          <xdr:colOff>342900</xdr:colOff>
          <xdr:row>36</xdr:row>
          <xdr:rowOff>266700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36</xdr:row>
          <xdr:rowOff>38100</xdr:rowOff>
        </xdr:from>
        <xdr:to>
          <xdr:col>33</xdr:col>
          <xdr:colOff>342900</xdr:colOff>
          <xdr:row>36</xdr:row>
          <xdr:rowOff>266700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36</xdr:row>
          <xdr:rowOff>38100</xdr:rowOff>
        </xdr:from>
        <xdr:to>
          <xdr:col>34</xdr:col>
          <xdr:colOff>342900</xdr:colOff>
          <xdr:row>36</xdr:row>
          <xdr:rowOff>266700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36</xdr:row>
          <xdr:rowOff>38100</xdr:rowOff>
        </xdr:from>
        <xdr:to>
          <xdr:col>35</xdr:col>
          <xdr:colOff>342900</xdr:colOff>
          <xdr:row>36</xdr:row>
          <xdr:rowOff>266700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36</xdr:row>
          <xdr:rowOff>38100</xdr:rowOff>
        </xdr:from>
        <xdr:to>
          <xdr:col>36</xdr:col>
          <xdr:colOff>342900</xdr:colOff>
          <xdr:row>36</xdr:row>
          <xdr:rowOff>266700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36</xdr:row>
          <xdr:rowOff>38100</xdr:rowOff>
        </xdr:from>
        <xdr:to>
          <xdr:col>37</xdr:col>
          <xdr:colOff>342900</xdr:colOff>
          <xdr:row>36</xdr:row>
          <xdr:rowOff>266700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37</xdr:row>
          <xdr:rowOff>38100</xdr:rowOff>
        </xdr:from>
        <xdr:to>
          <xdr:col>7</xdr:col>
          <xdr:colOff>342900</xdr:colOff>
          <xdr:row>37</xdr:row>
          <xdr:rowOff>266700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37</xdr:row>
          <xdr:rowOff>38100</xdr:rowOff>
        </xdr:from>
        <xdr:to>
          <xdr:col>8</xdr:col>
          <xdr:colOff>342900</xdr:colOff>
          <xdr:row>37</xdr:row>
          <xdr:rowOff>266700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37</xdr:row>
          <xdr:rowOff>38100</xdr:rowOff>
        </xdr:from>
        <xdr:to>
          <xdr:col>9</xdr:col>
          <xdr:colOff>342900</xdr:colOff>
          <xdr:row>37</xdr:row>
          <xdr:rowOff>266700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37</xdr:row>
          <xdr:rowOff>38100</xdr:rowOff>
        </xdr:from>
        <xdr:to>
          <xdr:col>10</xdr:col>
          <xdr:colOff>342900</xdr:colOff>
          <xdr:row>37</xdr:row>
          <xdr:rowOff>266700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37</xdr:row>
          <xdr:rowOff>38100</xdr:rowOff>
        </xdr:from>
        <xdr:to>
          <xdr:col>11</xdr:col>
          <xdr:colOff>342900</xdr:colOff>
          <xdr:row>37</xdr:row>
          <xdr:rowOff>266700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37</xdr:row>
          <xdr:rowOff>38100</xdr:rowOff>
        </xdr:from>
        <xdr:to>
          <xdr:col>12</xdr:col>
          <xdr:colOff>342900</xdr:colOff>
          <xdr:row>37</xdr:row>
          <xdr:rowOff>266700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37</xdr:row>
          <xdr:rowOff>38100</xdr:rowOff>
        </xdr:from>
        <xdr:to>
          <xdr:col>13</xdr:col>
          <xdr:colOff>342900</xdr:colOff>
          <xdr:row>37</xdr:row>
          <xdr:rowOff>266700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37</xdr:row>
          <xdr:rowOff>38100</xdr:rowOff>
        </xdr:from>
        <xdr:to>
          <xdr:col>14</xdr:col>
          <xdr:colOff>342900</xdr:colOff>
          <xdr:row>37</xdr:row>
          <xdr:rowOff>266700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37</xdr:row>
          <xdr:rowOff>38100</xdr:rowOff>
        </xdr:from>
        <xdr:to>
          <xdr:col>15</xdr:col>
          <xdr:colOff>342900</xdr:colOff>
          <xdr:row>37</xdr:row>
          <xdr:rowOff>266700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37</xdr:row>
          <xdr:rowOff>38100</xdr:rowOff>
        </xdr:from>
        <xdr:to>
          <xdr:col>16</xdr:col>
          <xdr:colOff>342900</xdr:colOff>
          <xdr:row>37</xdr:row>
          <xdr:rowOff>266700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37</xdr:row>
          <xdr:rowOff>38100</xdr:rowOff>
        </xdr:from>
        <xdr:to>
          <xdr:col>17</xdr:col>
          <xdr:colOff>342900</xdr:colOff>
          <xdr:row>37</xdr:row>
          <xdr:rowOff>266700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37</xdr:row>
          <xdr:rowOff>38100</xdr:rowOff>
        </xdr:from>
        <xdr:to>
          <xdr:col>18</xdr:col>
          <xdr:colOff>342900</xdr:colOff>
          <xdr:row>37</xdr:row>
          <xdr:rowOff>266700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37</xdr:row>
          <xdr:rowOff>38100</xdr:rowOff>
        </xdr:from>
        <xdr:to>
          <xdr:col>19</xdr:col>
          <xdr:colOff>342900</xdr:colOff>
          <xdr:row>37</xdr:row>
          <xdr:rowOff>266700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37</xdr:row>
          <xdr:rowOff>38100</xdr:rowOff>
        </xdr:from>
        <xdr:to>
          <xdr:col>20</xdr:col>
          <xdr:colOff>342900</xdr:colOff>
          <xdr:row>37</xdr:row>
          <xdr:rowOff>266700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37</xdr:row>
          <xdr:rowOff>38100</xdr:rowOff>
        </xdr:from>
        <xdr:to>
          <xdr:col>21</xdr:col>
          <xdr:colOff>342900</xdr:colOff>
          <xdr:row>37</xdr:row>
          <xdr:rowOff>266700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37</xdr:row>
          <xdr:rowOff>38100</xdr:rowOff>
        </xdr:from>
        <xdr:to>
          <xdr:col>22</xdr:col>
          <xdr:colOff>342900</xdr:colOff>
          <xdr:row>37</xdr:row>
          <xdr:rowOff>266700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37</xdr:row>
          <xdr:rowOff>38100</xdr:rowOff>
        </xdr:from>
        <xdr:to>
          <xdr:col>23</xdr:col>
          <xdr:colOff>342900</xdr:colOff>
          <xdr:row>37</xdr:row>
          <xdr:rowOff>266700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37</xdr:row>
          <xdr:rowOff>38100</xdr:rowOff>
        </xdr:from>
        <xdr:to>
          <xdr:col>24</xdr:col>
          <xdr:colOff>342900</xdr:colOff>
          <xdr:row>37</xdr:row>
          <xdr:rowOff>266700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37</xdr:row>
          <xdr:rowOff>38100</xdr:rowOff>
        </xdr:from>
        <xdr:to>
          <xdr:col>25</xdr:col>
          <xdr:colOff>342900</xdr:colOff>
          <xdr:row>37</xdr:row>
          <xdr:rowOff>266700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37</xdr:row>
          <xdr:rowOff>38100</xdr:rowOff>
        </xdr:from>
        <xdr:to>
          <xdr:col>26</xdr:col>
          <xdr:colOff>342900</xdr:colOff>
          <xdr:row>37</xdr:row>
          <xdr:rowOff>266700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37</xdr:row>
          <xdr:rowOff>38100</xdr:rowOff>
        </xdr:from>
        <xdr:to>
          <xdr:col>27</xdr:col>
          <xdr:colOff>342900</xdr:colOff>
          <xdr:row>37</xdr:row>
          <xdr:rowOff>266700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37</xdr:row>
          <xdr:rowOff>38100</xdr:rowOff>
        </xdr:from>
        <xdr:to>
          <xdr:col>28</xdr:col>
          <xdr:colOff>342900</xdr:colOff>
          <xdr:row>37</xdr:row>
          <xdr:rowOff>266700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37</xdr:row>
          <xdr:rowOff>38100</xdr:rowOff>
        </xdr:from>
        <xdr:to>
          <xdr:col>29</xdr:col>
          <xdr:colOff>342900</xdr:colOff>
          <xdr:row>37</xdr:row>
          <xdr:rowOff>266700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37</xdr:row>
          <xdr:rowOff>38100</xdr:rowOff>
        </xdr:from>
        <xdr:to>
          <xdr:col>30</xdr:col>
          <xdr:colOff>342900</xdr:colOff>
          <xdr:row>37</xdr:row>
          <xdr:rowOff>266700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37</xdr:row>
          <xdr:rowOff>38100</xdr:rowOff>
        </xdr:from>
        <xdr:to>
          <xdr:col>31</xdr:col>
          <xdr:colOff>342900</xdr:colOff>
          <xdr:row>37</xdr:row>
          <xdr:rowOff>266700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37</xdr:row>
          <xdr:rowOff>38100</xdr:rowOff>
        </xdr:from>
        <xdr:to>
          <xdr:col>32</xdr:col>
          <xdr:colOff>342900</xdr:colOff>
          <xdr:row>37</xdr:row>
          <xdr:rowOff>266700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37</xdr:row>
          <xdr:rowOff>38100</xdr:rowOff>
        </xdr:from>
        <xdr:to>
          <xdr:col>33</xdr:col>
          <xdr:colOff>342900</xdr:colOff>
          <xdr:row>37</xdr:row>
          <xdr:rowOff>266700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0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37</xdr:row>
          <xdr:rowOff>38100</xdr:rowOff>
        </xdr:from>
        <xdr:to>
          <xdr:col>34</xdr:col>
          <xdr:colOff>342900</xdr:colOff>
          <xdr:row>37</xdr:row>
          <xdr:rowOff>266700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37</xdr:row>
          <xdr:rowOff>38100</xdr:rowOff>
        </xdr:from>
        <xdr:to>
          <xdr:col>35</xdr:col>
          <xdr:colOff>342900</xdr:colOff>
          <xdr:row>37</xdr:row>
          <xdr:rowOff>266700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37</xdr:row>
          <xdr:rowOff>38100</xdr:rowOff>
        </xdr:from>
        <xdr:to>
          <xdr:col>36</xdr:col>
          <xdr:colOff>342900</xdr:colOff>
          <xdr:row>37</xdr:row>
          <xdr:rowOff>266700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37</xdr:row>
          <xdr:rowOff>38100</xdr:rowOff>
        </xdr:from>
        <xdr:to>
          <xdr:col>37</xdr:col>
          <xdr:colOff>342900</xdr:colOff>
          <xdr:row>37</xdr:row>
          <xdr:rowOff>266700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38</xdr:row>
          <xdr:rowOff>38100</xdr:rowOff>
        </xdr:from>
        <xdr:to>
          <xdr:col>7</xdr:col>
          <xdr:colOff>342900</xdr:colOff>
          <xdr:row>38</xdr:row>
          <xdr:rowOff>266700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38</xdr:row>
          <xdr:rowOff>38100</xdr:rowOff>
        </xdr:from>
        <xdr:to>
          <xdr:col>8</xdr:col>
          <xdr:colOff>342900</xdr:colOff>
          <xdr:row>38</xdr:row>
          <xdr:rowOff>266700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38</xdr:row>
          <xdr:rowOff>38100</xdr:rowOff>
        </xdr:from>
        <xdr:to>
          <xdr:col>9</xdr:col>
          <xdr:colOff>342900</xdr:colOff>
          <xdr:row>38</xdr:row>
          <xdr:rowOff>266700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38</xdr:row>
          <xdr:rowOff>38100</xdr:rowOff>
        </xdr:from>
        <xdr:to>
          <xdr:col>10</xdr:col>
          <xdr:colOff>342900</xdr:colOff>
          <xdr:row>38</xdr:row>
          <xdr:rowOff>266700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38</xdr:row>
          <xdr:rowOff>38100</xdr:rowOff>
        </xdr:from>
        <xdr:to>
          <xdr:col>11</xdr:col>
          <xdr:colOff>342900</xdr:colOff>
          <xdr:row>38</xdr:row>
          <xdr:rowOff>266700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38</xdr:row>
          <xdr:rowOff>38100</xdr:rowOff>
        </xdr:from>
        <xdr:to>
          <xdr:col>12</xdr:col>
          <xdr:colOff>342900</xdr:colOff>
          <xdr:row>38</xdr:row>
          <xdr:rowOff>266700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38</xdr:row>
          <xdr:rowOff>38100</xdr:rowOff>
        </xdr:from>
        <xdr:to>
          <xdr:col>13</xdr:col>
          <xdr:colOff>342900</xdr:colOff>
          <xdr:row>38</xdr:row>
          <xdr:rowOff>266700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38</xdr:row>
          <xdr:rowOff>38100</xdr:rowOff>
        </xdr:from>
        <xdr:to>
          <xdr:col>14</xdr:col>
          <xdr:colOff>342900</xdr:colOff>
          <xdr:row>38</xdr:row>
          <xdr:rowOff>266700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38</xdr:row>
          <xdr:rowOff>38100</xdr:rowOff>
        </xdr:from>
        <xdr:to>
          <xdr:col>15</xdr:col>
          <xdr:colOff>342900</xdr:colOff>
          <xdr:row>38</xdr:row>
          <xdr:rowOff>266700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38</xdr:row>
          <xdr:rowOff>38100</xdr:rowOff>
        </xdr:from>
        <xdr:to>
          <xdr:col>16</xdr:col>
          <xdr:colOff>342900</xdr:colOff>
          <xdr:row>38</xdr:row>
          <xdr:rowOff>266700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38</xdr:row>
          <xdr:rowOff>38100</xdr:rowOff>
        </xdr:from>
        <xdr:to>
          <xdr:col>17</xdr:col>
          <xdr:colOff>342900</xdr:colOff>
          <xdr:row>38</xdr:row>
          <xdr:rowOff>266700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38</xdr:row>
          <xdr:rowOff>38100</xdr:rowOff>
        </xdr:from>
        <xdr:to>
          <xdr:col>18</xdr:col>
          <xdr:colOff>342900</xdr:colOff>
          <xdr:row>38</xdr:row>
          <xdr:rowOff>266700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38</xdr:row>
          <xdr:rowOff>38100</xdr:rowOff>
        </xdr:from>
        <xdr:to>
          <xdr:col>19</xdr:col>
          <xdr:colOff>342900</xdr:colOff>
          <xdr:row>38</xdr:row>
          <xdr:rowOff>266700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38</xdr:row>
          <xdr:rowOff>38100</xdr:rowOff>
        </xdr:from>
        <xdr:to>
          <xdr:col>20</xdr:col>
          <xdr:colOff>342900</xdr:colOff>
          <xdr:row>38</xdr:row>
          <xdr:rowOff>266700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38</xdr:row>
          <xdr:rowOff>38100</xdr:rowOff>
        </xdr:from>
        <xdr:to>
          <xdr:col>21</xdr:col>
          <xdr:colOff>342900</xdr:colOff>
          <xdr:row>38</xdr:row>
          <xdr:rowOff>266700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38</xdr:row>
          <xdr:rowOff>38100</xdr:rowOff>
        </xdr:from>
        <xdr:to>
          <xdr:col>22</xdr:col>
          <xdr:colOff>342900</xdr:colOff>
          <xdr:row>38</xdr:row>
          <xdr:rowOff>266700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38</xdr:row>
          <xdr:rowOff>38100</xdr:rowOff>
        </xdr:from>
        <xdr:to>
          <xdr:col>23</xdr:col>
          <xdr:colOff>342900</xdr:colOff>
          <xdr:row>38</xdr:row>
          <xdr:rowOff>266700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38</xdr:row>
          <xdr:rowOff>38100</xdr:rowOff>
        </xdr:from>
        <xdr:to>
          <xdr:col>24</xdr:col>
          <xdr:colOff>342900</xdr:colOff>
          <xdr:row>38</xdr:row>
          <xdr:rowOff>266700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38</xdr:row>
          <xdr:rowOff>38100</xdr:rowOff>
        </xdr:from>
        <xdr:to>
          <xdr:col>25</xdr:col>
          <xdr:colOff>342900</xdr:colOff>
          <xdr:row>38</xdr:row>
          <xdr:rowOff>266700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38</xdr:row>
          <xdr:rowOff>38100</xdr:rowOff>
        </xdr:from>
        <xdr:to>
          <xdr:col>26</xdr:col>
          <xdr:colOff>342900</xdr:colOff>
          <xdr:row>38</xdr:row>
          <xdr:rowOff>266700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38</xdr:row>
          <xdr:rowOff>38100</xdr:rowOff>
        </xdr:from>
        <xdr:to>
          <xdr:col>27</xdr:col>
          <xdr:colOff>342900</xdr:colOff>
          <xdr:row>38</xdr:row>
          <xdr:rowOff>266700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38</xdr:row>
          <xdr:rowOff>38100</xdr:rowOff>
        </xdr:from>
        <xdr:to>
          <xdr:col>28</xdr:col>
          <xdr:colOff>342900</xdr:colOff>
          <xdr:row>38</xdr:row>
          <xdr:rowOff>266700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38</xdr:row>
          <xdr:rowOff>38100</xdr:rowOff>
        </xdr:from>
        <xdr:to>
          <xdr:col>29</xdr:col>
          <xdr:colOff>342900</xdr:colOff>
          <xdr:row>38</xdr:row>
          <xdr:rowOff>266700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38</xdr:row>
          <xdr:rowOff>38100</xdr:rowOff>
        </xdr:from>
        <xdr:to>
          <xdr:col>30</xdr:col>
          <xdr:colOff>342900</xdr:colOff>
          <xdr:row>38</xdr:row>
          <xdr:rowOff>266700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38</xdr:row>
          <xdr:rowOff>38100</xdr:rowOff>
        </xdr:from>
        <xdr:to>
          <xdr:col>31</xdr:col>
          <xdr:colOff>342900</xdr:colOff>
          <xdr:row>38</xdr:row>
          <xdr:rowOff>266700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38</xdr:row>
          <xdr:rowOff>38100</xdr:rowOff>
        </xdr:from>
        <xdr:to>
          <xdr:col>32</xdr:col>
          <xdr:colOff>342900</xdr:colOff>
          <xdr:row>38</xdr:row>
          <xdr:rowOff>266700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38</xdr:row>
          <xdr:rowOff>38100</xdr:rowOff>
        </xdr:from>
        <xdr:to>
          <xdr:col>33</xdr:col>
          <xdr:colOff>342900</xdr:colOff>
          <xdr:row>38</xdr:row>
          <xdr:rowOff>266700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38</xdr:row>
          <xdr:rowOff>38100</xdr:rowOff>
        </xdr:from>
        <xdr:to>
          <xdr:col>34</xdr:col>
          <xdr:colOff>342900</xdr:colOff>
          <xdr:row>38</xdr:row>
          <xdr:rowOff>266700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38</xdr:row>
          <xdr:rowOff>38100</xdr:rowOff>
        </xdr:from>
        <xdr:to>
          <xdr:col>35</xdr:col>
          <xdr:colOff>342900</xdr:colOff>
          <xdr:row>38</xdr:row>
          <xdr:rowOff>266700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38</xdr:row>
          <xdr:rowOff>38100</xdr:rowOff>
        </xdr:from>
        <xdr:to>
          <xdr:col>36</xdr:col>
          <xdr:colOff>342900</xdr:colOff>
          <xdr:row>38</xdr:row>
          <xdr:rowOff>266700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38</xdr:row>
          <xdr:rowOff>38100</xdr:rowOff>
        </xdr:from>
        <xdr:to>
          <xdr:col>37</xdr:col>
          <xdr:colOff>342900</xdr:colOff>
          <xdr:row>38</xdr:row>
          <xdr:rowOff>266700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39</xdr:row>
          <xdr:rowOff>38100</xdr:rowOff>
        </xdr:from>
        <xdr:to>
          <xdr:col>7</xdr:col>
          <xdr:colOff>342900</xdr:colOff>
          <xdr:row>39</xdr:row>
          <xdr:rowOff>266700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39</xdr:row>
          <xdr:rowOff>38100</xdr:rowOff>
        </xdr:from>
        <xdr:to>
          <xdr:col>8</xdr:col>
          <xdr:colOff>342900</xdr:colOff>
          <xdr:row>39</xdr:row>
          <xdr:rowOff>266700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39</xdr:row>
          <xdr:rowOff>38100</xdr:rowOff>
        </xdr:from>
        <xdr:to>
          <xdr:col>9</xdr:col>
          <xdr:colOff>342900</xdr:colOff>
          <xdr:row>39</xdr:row>
          <xdr:rowOff>266700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39</xdr:row>
          <xdr:rowOff>38100</xdr:rowOff>
        </xdr:from>
        <xdr:to>
          <xdr:col>10</xdr:col>
          <xdr:colOff>342900</xdr:colOff>
          <xdr:row>39</xdr:row>
          <xdr:rowOff>266700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39</xdr:row>
          <xdr:rowOff>38100</xdr:rowOff>
        </xdr:from>
        <xdr:to>
          <xdr:col>11</xdr:col>
          <xdr:colOff>342900</xdr:colOff>
          <xdr:row>39</xdr:row>
          <xdr:rowOff>266700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39</xdr:row>
          <xdr:rowOff>38100</xdr:rowOff>
        </xdr:from>
        <xdr:to>
          <xdr:col>12</xdr:col>
          <xdr:colOff>342900</xdr:colOff>
          <xdr:row>39</xdr:row>
          <xdr:rowOff>266700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39</xdr:row>
          <xdr:rowOff>38100</xdr:rowOff>
        </xdr:from>
        <xdr:to>
          <xdr:col>13</xdr:col>
          <xdr:colOff>342900</xdr:colOff>
          <xdr:row>39</xdr:row>
          <xdr:rowOff>266700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39</xdr:row>
          <xdr:rowOff>38100</xdr:rowOff>
        </xdr:from>
        <xdr:to>
          <xdr:col>14</xdr:col>
          <xdr:colOff>342900</xdr:colOff>
          <xdr:row>39</xdr:row>
          <xdr:rowOff>266700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39</xdr:row>
          <xdr:rowOff>38100</xdr:rowOff>
        </xdr:from>
        <xdr:to>
          <xdr:col>15</xdr:col>
          <xdr:colOff>342900</xdr:colOff>
          <xdr:row>39</xdr:row>
          <xdr:rowOff>266700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39</xdr:row>
          <xdr:rowOff>38100</xdr:rowOff>
        </xdr:from>
        <xdr:to>
          <xdr:col>16</xdr:col>
          <xdr:colOff>342900</xdr:colOff>
          <xdr:row>39</xdr:row>
          <xdr:rowOff>266700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39</xdr:row>
          <xdr:rowOff>38100</xdr:rowOff>
        </xdr:from>
        <xdr:to>
          <xdr:col>17</xdr:col>
          <xdr:colOff>342900</xdr:colOff>
          <xdr:row>39</xdr:row>
          <xdr:rowOff>266700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39</xdr:row>
          <xdr:rowOff>38100</xdr:rowOff>
        </xdr:from>
        <xdr:to>
          <xdr:col>18</xdr:col>
          <xdr:colOff>342900</xdr:colOff>
          <xdr:row>39</xdr:row>
          <xdr:rowOff>266700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39</xdr:row>
          <xdr:rowOff>38100</xdr:rowOff>
        </xdr:from>
        <xdr:to>
          <xdr:col>19</xdr:col>
          <xdr:colOff>342900</xdr:colOff>
          <xdr:row>39</xdr:row>
          <xdr:rowOff>266700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39</xdr:row>
          <xdr:rowOff>38100</xdr:rowOff>
        </xdr:from>
        <xdr:to>
          <xdr:col>20</xdr:col>
          <xdr:colOff>342900</xdr:colOff>
          <xdr:row>39</xdr:row>
          <xdr:rowOff>266700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39</xdr:row>
          <xdr:rowOff>38100</xdr:rowOff>
        </xdr:from>
        <xdr:to>
          <xdr:col>21</xdr:col>
          <xdr:colOff>342900</xdr:colOff>
          <xdr:row>39</xdr:row>
          <xdr:rowOff>266700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39</xdr:row>
          <xdr:rowOff>38100</xdr:rowOff>
        </xdr:from>
        <xdr:to>
          <xdr:col>22</xdr:col>
          <xdr:colOff>342900</xdr:colOff>
          <xdr:row>39</xdr:row>
          <xdr:rowOff>266700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39</xdr:row>
          <xdr:rowOff>38100</xdr:rowOff>
        </xdr:from>
        <xdr:to>
          <xdr:col>23</xdr:col>
          <xdr:colOff>342900</xdr:colOff>
          <xdr:row>39</xdr:row>
          <xdr:rowOff>266700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39</xdr:row>
          <xdr:rowOff>38100</xdr:rowOff>
        </xdr:from>
        <xdr:to>
          <xdr:col>24</xdr:col>
          <xdr:colOff>342900</xdr:colOff>
          <xdr:row>39</xdr:row>
          <xdr:rowOff>266700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39</xdr:row>
          <xdr:rowOff>38100</xdr:rowOff>
        </xdr:from>
        <xdr:to>
          <xdr:col>25</xdr:col>
          <xdr:colOff>342900</xdr:colOff>
          <xdr:row>39</xdr:row>
          <xdr:rowOff>266700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39</xdr:row>
          <xdr:rowOff>38100</xdr:rowOff>
        </xdr:from>
        <xdr:to>
          <xdr:col>26</xdr:col>
          <xdr:colOff>342900</xdr:colOff>
          <xdr:row>39</xdr:row>
          <xdr:rowOff>266700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39</xdr:row>
          <xdr:rowOff>38100</xdr:rowOff>
        </xdr:from>
        <xdr:to>
          <xdr:col>27</xdr:col>
          <xdr:colOff>342900</xdr:colOff>
          <xdr:row>39</xdr:row>
          <xdr:rowOff>266700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39</xdr:row>
          <xdr:rowOff>38100</xdr:rowOff>
        </xdr:from>
        <xdr:to>
          <xdr:col>28</xdr:col>
          <xdr:colOff>342900</xdr:colOff>
          <xdr:row>39</xdr:row>
          <xdr:rowOff>266700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39</xdr:row>
          <xdr:rowOff>38100</xdr:rowOff>
        </xdr:from>
        <xdr:to>
          <xdr:col>29</xdr:col>
          <xdr:colOff>342900</xdr:colOff>
          <xdr:row>39</xdr:row>
          <xdr:rowOff>266700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39</xdr:row>
          <xdr:rowOff>38100</xdr:rowOff>
        </xdr:from>
        <xdr:to>
          <xdr:col>30</xdr:col>
          <xdr:colOff>342900</xdr:colOff>
          <xdr:row>39</xdr:row>
          <xdr:rowOff>266700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39</xdr:row>
          <xdr:rowOff>38100</xdr:rowOff>
        </xdr:from>
        <xdr:to>
          <xdr:col>31</xdr:col>
          <xdr:colOff>342900</xdr:colOff>
          <xdr:row>39</xdr:row>
          <xdr:rowOff>266700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39</xdr:row>
          <xdr:rowOff>38100</xdr:rowOff>
        </xdr:from>
        <xdr:to>
          <xdr:col>32</xdr:col>
          <xdr:colOff>342900</xdr:colOff>
          <xdr:row>39</xdr:row>
          <xdr:rowOff>266700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39</xdr:row>
          <xdr:rowOff>38100</xdr:rowOff>
        </xdr:from>
        <xdr:to>
          <xdr:col>33</xdr:col>
          <xdr:colOff>342900</xdr:colOff>
          <xdr:row>39</xdr:row>
          <xdr:rowOff>266700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39</xdr:row>
          <xdr:rowOff>38100</xdr:rowOff>
        </xdr:from>
        <xdr:to>
          <xdr:col>34</xdr:col>
          <xdr:colOff>342900</xdr:colOff>
          <xdr:row>39</xdr:row>
          <xdr:rowOff>266700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39</xdr:row>
          <xdr:rowOff>38100</xdr:rowOff>
        </xdr:from>
        <xdr:to>
          <xdr:col>35</xdr:col>
          <xdr:colOff>342900</xdr:colOff>
          <xdr:row>39</xdr:row>
          <xdr:rowOff>266700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39</xdr:row>
          <xdr:rowOff>38100</xdr:rowOff>
        </xdr:from>
        <xdr:to>
          <xdr:col>36</xdr:col>
          <xdr:colOff>342900</xdr:colOff>
          <xdr:row>39</xdr:row>
          <xdr:rowOff>266700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39</xdr:row>
          <xdr:rowOff>38100</xdr:rowOff>
        </xdr:from>
        <xdr:to>
          <xdr:col>37</xdr:col>
          <xdr:colOff>342900</xdr:colOff>
          <xdr:row>39</xdr:row>
          <xdr:rowOff>266700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40</xdr:row>
          <xdr:rowOff>38100</xdr:rowOff>
        </xdr:from>
        <xdr:to>
          <xdr:col>7</xdr:col>
          <xdr:colOff>342900</xdr:colOff>
          <xdr:row>40</xdr:row>
          <xdr:rowOff>266700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40</xdr:row>
          <xdr:rowOff>38100</xdr:rowOff>
        </xdr:from>
        <xdr:to>
          <xdr:col>8</xdr:col>
          <xdr:colOff>342900</xdr:colOff>
          <xdr:row>40</xdr:row>
          <xdr:rowOff>266700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40</xdr:row>
          <xdr:rowOff>38100</xdr:rowOff>
        </xdr:from>
        <xdr:to>
          <xdr:col>9</xdr:col>
          <xdr:colOff>342900</xdr:colOff>
          <xdr:row>40</xdr:row>
          <xdr:rowOff>266700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0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40</xdr:row>
          <xdr:rowOff>38100</xdr:rowOff>
        </xdr:from>
        <xdr:to>
          <xdr:col>10</xdr:col>
          <xdr:colOff>342900</xdr:colOff>
          <xdr:row>40</xdr:row>
          <xdr:rowOff>266700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40</xdr:row>
          <xdr:rowOff>38100</xdr:rowOff>
        </xdr:from>
        <xdr:to>
          <xdr:col>11</xdr:col>
          <xdr:colOff>342900</xdr:colOff>
          <xdr:row>40</xdr:row>
          <xdr:rowOff>266700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40</xdr:row>
          <xdr:rowOff>38100</xdr:rowOff>
        </xdr:from>
        <xdr:to>
          <xdr:col>12</xdr:col>
          <xdr:colOff>342900</xdr:colOff>
          <xdr:row>40</xdr:row>
          <xdr:rowOff>266700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40</xdr:row>
          <xdr:rowOff>38100</xdr:rowOff>
        </xdr:from>
        <xdr:to>
          <xdr:col>13</xdr:col>
          <xdr:colOff>342900</xdr:colOff>
          <xdr:row>40</xdr:row>
          <xdr:rowOff>266700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40</xdr:row>
          <xdr:rowOff>38100</xdr:rowOff>
        </xdr:from>
        <xdr:to>
          <xdr:col>14</xdr:col>
          <xdr:colOff>342900</xdr:colOff>
          <xdr:row>40</xdr:row>
          <xdr:rowOff>266700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40</xdr:row>
          <xdr:rowOff>38100</xdr:rowOff>
        </xdr:from>
        <xdr:to>
          <xdr:col>15</xdr:col>
          <xdr:colOff>342900</xdr:colOff>
          <xdr:row>40</xdr:row>
          <xdr:rowOff>266700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40</xdr:row>
          <xdr:rowOff>38100</xdr:rowOff>
        </xdr:from>
        <xdr:to>
          <xdr:col>16</xdr:col>
          <xdr:colOff>342900</xdr:colOff>
          <xdr:row>40</xdr:row>
          <xdr:rowOff>266700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40</xdr:row>
          <xdr:rowOff>38100</xdr:rowOff>
        </xdr:from>
        <xdr:to>
          <xdr:col>17</xdr:col>
          <xdr:colOff>342900</xdr:colOff>
          <xdr:row>40</xdr:row>
          <xdr:rowOff>266700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40</xdr:row>
          <xdr:rowOff>38100</xdr:rowOff>
        </xdr:from>
        <xdr:to>
          <xdr:col>18</xdr:col>
          <xdr:colOff>342900</xdr:colOff>
          <xdr:row>40</xdr:row>
          <xdr:rowOff>266700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40</xdr:row>
          <xdr:rowOff>38100</xdr:rowOff>
        </xdr:from>
        <xdr:to>
          <xdr:col>19</xdr:col>
          <xdr:colOff>342900</xdr:colOff>
          <xdr:row>40</xdr:row>
          <xdr:rowOff>266700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40</xdr:row>
          <xdr:rowOff>38100</xdr:rowOff>
        </xdr:from>
        <xdr:to>
          <xdr:col>20</xdr:col>
          <xdr:colOff>342900</xdr:colOff>
          <xdr:row>40</xdr:row>
          <xdr:rowOff>266700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40</xdr:row>
          <xdr:rowOff>38100</xdr:rowOff>
        </xdr:from>
        <xdr:to>
          <xdr:col>21</xdr:col>
          <xdr:colOff>342900</xdr:colOff>
          <xdr:row>40</xdr:row>
          <xdr:rowOff>266700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40</xdr:row>
          <xdr:rowOff>38100</xdr:rowOff>
        </xdr:from>
        <xdr:to>
          <xdr:col>22</xdr:col>
          <xdr:colOff>342900</xdr:colOff>
          <xdr:row>40</xdr:row>
          <xdr:rowOff>266700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40</xdr:row>
          <xdr:rowOff>38100</xdr:rowOff>
        </xdr:from>
        <xdr:to>
          <xdr:col>23</xdr:col>
          <xdr:colOff>342900</xdr:colOff>
          <xdr:row>40</xdr:row>
          <xdr:rowOff>266700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40</xdr:row>
          <xdr:rowOff>38100</xdr:rowOff>
        </xdr:from>
        <xdr:to>
          <xdr:col>24</xdr:col>
          <xdr:colOff>342900</xdr:colOff>
          <xdr:row>40</xdr:row>
          <xdr:rowOff>266700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0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40</xdr:row>
          <xdr:rowOff>38100</xdr:rowOff>
        </xdr:from>
        <xdr:to>
          <xdr:col>25</xdr:col>
          <xdr:colOff>342900</xdr:colOff>
          <xdr:row>40</xdr:row>
          <xdr:rowOff>266700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40</xdr:row>
          <xdr:rowOff>38100</xdr:rowOff>
        </xdr:from>
        <xdr:to>
          <xdr:col>26</xdr:col>
          <xdr:colOff>342900</xdr:colOff>
          <xdr:row>40</xdr:row>
          <xdr:rowOff>266700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40</xdr:row>
          <xdr:rowOff>38100</xdr:rowOff>
        </xdr:from>
        <xdr:to>
          <xdr:col>27</xdr:col>
          <xdr:colOff>342900</xdr:colOff>
          <xdr:row>40</xdr:row>
          <xdr:rowOff>266700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40</xdr:row>
          <xdr:rowOff>38100</xdr:rowOff>
        </xdr:from>
        <xdr:to>
          <xdr:col>28</xdr:col>
          <xdr:colOff>342900</xdr:colOff>
          <xdr:row>40</xdr:row>
          <xdr:rowOff>266700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40</xdr:row>
          <xdr:rowOff>38100</xdr:rowOff>
        </xdr:from>
        <xdr:to>
          <xdr:col>29</xdr:col>
          <xdr:colOff>342900</xdr:colOff>
          <xdr:row>40</xdr:row>
          <xdr:rowOff>266700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40</xdr:row>
          <xdr:rowOff>38100</xdr:rowOff>
        </xdr:from>
        <xdr:to>
          <xdr:col>30</xdr:col>
          <xdr:colOff>342900</xdr:colOff>
          <xdr:row>40</xdr:row>
          <xdr:rowOff>266700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40</xdr:row>
          <xdr:rowOff>38100</xdr:rowOff>
        </xdr:from>
        <xdr:to>
          <xdr:col>31</xdr:col>
          <xdr:colOff>342900</xdr:colOff>
          <xdr:row>40</xdr:row>
          <xdr:rowOff>266700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40</xdr:row>
          <xdr:rowOff>38100</xdr:rowOff>
        </xdr:from>
        <xdr:to>
          <xdr:col>32</xdr:col>
          <xdr:colOff>342900</xdr:colOff>
          <xdr:row>40</xdr:row>
          <xdr:rowOff>266700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40</xdr:row>
          <xdr:rowOff>38100</xdr:rowOff>
        </xdr:from>
        <xdr:to>
          <xdr:col>33</xdr:col>
          <xdr:colOff>342900</xdr:colOff>
          <xdr:row>40</xdr:row>
          <xdr:rowOff>266700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40</xdr:row>
          <xdr:rowOff>38100</xdr:rowOff>
        </xdr:from>
        <xdr:to>
          <xdr:col>34</xdr:col>
          <xdr:colOff>342900</xdr:colOff>
          <xdr:row>40</xdr:row>
          <xdr:rowOff>266700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40</xdr:row>
          <xdr:rowOff>38100</xdr:rowOff>
        </xdr:from>
        <xdr:to>
          <xdr:col>35</xdr:col>
          <xdr:colOff>342900</xdr:colOff>
          <xdr:row>40</xdr:row>
          <xdr:rowOff>266700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40</xdr:row>
          <xdr:rowOff>38100</xdr:rowOff>
        </xdr:from>
        <xdr:to>
          <xdr:col>36</xdr:col>
          <xdr:colOff>342900</xdr:colOff>
          <xdr:row>40</xdr:row>
          <xdr:rowOff>266700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40</xdr:row>
          <xdr:rowOff>38100</xdr:rowOff>
        </xdr:from>
        <xdr:to>
          <xdr:col>37</xdr:col>
          <xdr:colOff>342900</xdr:colOff>
          <xdr:row>40</xdr:row>
          <xdr:rowOff>266700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0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41</xdr:row>
          <xdr:rowOff>38100</xdr:rowOff>
        </xdr:from>
        <xdr:to>
          <xdr:col>7</xdr:col>
          <xdr:colOff>342900</xdr:colOff>
          <xdr:row>41</xdr:row>
          <xdr:rowOff>266700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0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41</xdr:row>
          <xdr:rowOff>38100</xdr:rowOff>
        </xdr:from>
        <xdr:to>
          <xdr:col>8</xdr:col>
          <xdr:colOff>342900</xdr:colOff>
          <xdr:row>41</xdr:row>
          <xdr:rowOff>266700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41</xdr:row>
          <xdr:rowOff>38100</xdr:rowOff>
        </xdr:from>
        <xdr:to>
          <xdr:col>9</xdr:col>
          <xdr:colOff>342900</xdr:colOff>
          <xdr:row>41</xdr:row>
          <xdr:rowOff>266700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41</xdr:row>
          <xdr:rowOff>38100</xdr:rowOff>
        </xdr:from>
        <xdr:to>
          <xdr:col>10</xdr:col>
          <xdr:colOff>342900</xdr:colOff>
          <xdr:row>41</xdr:row>
          <xdr:rowOff>266700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41</xdr:row>
          <xdr:rowOff>38100</xdr:rowOff>
        </xdr:from>
        <xdr:to>
          <xdr:col>11</xdr:col>
          <xdr:colOff>342900</xdr:colOff>
          <xdr:row>41</xdr:row>
          <xdr:rowOff>266700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41</xdr:row>
          <xdr:rowOff>38100</xdr:rowOff>
        </xdr:from>
        <xdr:to>
          <xdr:col>12</xdr:col>
          <xdr:colOff>342900</xdr:colOff>
          <xdr:row>41</xdr:row>
          <xdr:rowOff>266700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41</xdr:row>
          <xdr:rowOff>38100</xdr:rowOff>
        </xdr:from>
        <xdr:to>
          <xdr:col>13</xdr:col>
          <xdr:colOff>342900</xdr:colOff>
          <xdr:row>41</xdr:row>
          <xdr:rowOff>266700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41</xdr:row>
          <xdr:rowOff>38100</xdr:rowOff>
        </xdr:from>
        <xdr:to>
          <xdr:col>14</xdr:col>
          <xdr:colOff>342900</xdr:colOff>
          <xdr:row>41</xdr:row>
          <xdr:rowOff>266700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41</xdr:row>
          <xdr:rowOff>38100</xdr:rowOff>
        </xdr:from>
        <xdr:to>
          <xdr:col>15</xdr:col>
          <xdr:colOff>342900</xdr:colOff>
          <xdr:row>41</xdr:row>
          <xdr:rowOff>266700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41</xdr:row>
          <xdr:rowOff>38100</xdr:rowOff>
        </xdr:from>
        <xdr:to>
          <xdr:col>16</xdr:col>
          <xdr:colOff>342900</xdr:colOff>
          <xdr:row>41</xdr:row>
          <xdr:rowOff>266700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41</xdr:row>
          <xdr:rowOff>38100</xdr:rowOff>
        </xdr:from>
        <xdr:to>
          <xdr:col>17</xdr:col>
          <xdr:colOff>342900</xdr:colOff>
          <xdr:row>41</xdr:row>
          <xdr:rowOff>266700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41</xdr:row>
          <xdr:rowOff>38100</xdr:rowOff>
        </xdr:from>
        <xdr:to>
          <xdr:col>18</xdr:col>
          <xdr:colOff>342900</xdr:colOff>
          <xdr:row>41</xdr:row>
          <xdr:rowOff>266700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41</xdr:row>
          <xdr:rowOff>38100</xdr:rowOff>
        </xdr:from>
        <xdr:to>
          <xdr:col>19</xdr:col>
          <xdr:colOff>342900</xdr:colOff>
          <xdr:row>41</xdr:row>
          <xdr:rowOff>266700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41</xdr:row>
          <xdr:rowOff>38100</xdr:rowOff>
        </xdr:from>
        <xdr:to>
          <xdr:col>20</xdr:col>
          <xdr:colOff>342900</xdr:colOff>
          <xdr:row>41</xdr:row>
          <xdr:rowOff>266700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0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41</xdr:row>
          <xdr:rowOff>38100</xdr:rowOff>
        </xdr:from>
        <xdr:to>
          <xdr:col>21</xdr:col>
          <xdr:colOff>342900</xdr:colOff>
          <xdr:row>41</xdr:row>
          <xdr:rowOff>266700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41</xdr:row>
          <xdr:rowOff>38100</xdr:rowOff>
        </xdr:from>
        <xdr:to>
          <xdr:col>22</xdr:col>
          <xdr:colOff>342900</xdr:colOff>
          <xdr:row>41</xdr:row>
          <xdr:rowOff>266700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41</xdr:row>
          <xdr:rowOff>38100</xdr:rowOff>
        </xdr:from>
        <xdr:to>
          <xdr:col>23</xdr:col>
          <xdr:colOff>342900</xdr:colOff>
          <xdr:row>41</xdr:row>
          <xdr:rowOff>266700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41</xdr:row>
          <xdr:rowOff>38100</xdr:rowOff>
        </xdr:from>
        <xdr:to>
          <xdr:col>24</xdr:col>
          <xdr:colOff>342900</xdr:colOff>
          <xdr:row>41</xdr:row>
          <xdr:rowOff>266700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41</xdr:row>
          <xdr:rowOff>38100</xdr:rowOff>
        </xdr:from>
        <xdr:to>
          <xdr:col>25</xdr:col>
          <xdr:colOff>342900</xdr:colOff>
          <xdr:row>41</xdr:row>
          <xdr:rowOff>266700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41</xdr:row>
          <xdr:rowOff>38100</xdr:rowOff>
        </xdr:from>
        <xdr:to>
          <xdr:col>26</xdr:col>
          <xdr:colOff>342900</xdr:colOff>
          <xdr:row>41</xdr:row>
          <xdr:rowOff>266700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41</xdr:row>
          <xdr:rowOff>38100</xdr:rowOff>
        </xdr:from>
        <xdr:to>
          <xdr:col>27</xdr:col>
          <xdr:colOff>342900</xdr:colOff>
          <xdr:row>41</xdr:row>
          <xdr:rowOff>266700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41</xdr:row>
          <xdr:rowOff>38100</xdr:rowOff>
        </xdr:from>
        <xdr:to>
          <xdr:col>28</xdr:col>
          <xdr:colOff>342900</xdr:colOff>
          <xdr:row>41</xdr:row>
          <xdr:rowOff>266700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41</xdr:row>
          <xdr:rowOff>38100</xdr:rowOff>
        </xdr:from>
        <xdr:to>
          <xdr:col>29</xdr:col>
          <xdr:colOff>342900</xdr:colOff>
          <xdr:row>41</xdr:row>
          <xdr:rowOff>266700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41</xdr:row>
          <xdr:rowOff>38100</xdr:rowOff>
        </xdr:from>
        <xdr:to>
          <xdr:col>30</xdr:col>
          <xdr:colOff>342900</xdr:colOff>
          <xdr:row>41</xdr:row>
          <xdr:rowOff>266700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41</xdr:row>
          <xdr:rowOff>38100</xdr:rowOff>
        </xdr:from>
        <xdr:to>
          <xdr:col>31</xdr:col>
          <xdr:colOff>342900</xdr:colOff>
          <xdr:row>41</xdr:row>
          <xdr:rowOff>266700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41</xdr:row>
          <xdr:rowOff>38100</xdr:rowOff>
        </xdr:from>
        <xdr:to>
          <xdr:col>32</xdr:col>
          <xdr:colOff>342900</xdr:colOff>
          <xdr:row>41</xdr:row>
          <xdr:rowOff>266700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41</xdr:row>
          <xdr:rowOff>38100</xdr:rowOff>
        </xdr:from>
        <xdr:to>
          <xdr:col>33</xdr:col>
          <xdr:colOff>342900</xdr:colOff>
          <xdr:row>41</xdr:row>
          <xdr:rowOff>266700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41</xdr:row>
          <xdr:rowOff>38100</xdr:rowOff>
        </xdr:from>
        <xdr:to>
          <xdr:col>34</xdr:col>
          <xdr:colOff>342900</xdr:colOff>
          <xdr:row>41</xdr:row>
          <xdr:rowOff>266700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41</xdr:row>
          <xdr:rowOff>38100</xdr:rowOff>
        </xdr:from>
        <xdr:to>
          <xdr:col>35</xdr:col>
          <xdr:colOff>342900</xdr:colOff>
          <xdr:row>41</xdr:row>
          <xdr:rowOff>266700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0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41</xdr:row>
          <xdr:rowOff>38100</xdr:rowOff>
        </xdr:from>
        <xdr:to>
          <xdr:col>36</xdr:col>
          <xdr:colOff>342900</xdr:colOff>
          <xdr:row>41</xdr:row>
          <xdr:rowOff>266700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41</xdr:row>
          <xdr:rowOff>38100</xdr:rowOff>
        </xdr:from>
        <xdr:to>
          <xdr:col>37</xdr:col>
          <xdr:colOff>342900</xdr:colOff>
          <xdr:row>41</xdr:row>
          <xdr:rowOff>266700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42</xdr:row>
          <xdr:rowOff>38100</xdr:rowOff>
        </xdr:from>
        <xdr:to>
          <xdr:col>7</xdr:col>
          <xdr:colOff>342900</xdr:colOff>
          <xdr:row>42</xdr:row>
          <xdr:rowOff>266700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42</xdr:row>
          <xdr:rowOff>38100</xdr:rowOff>
        </xdr:from>
        <xdr:to>
          <xdr:col>8</xdr:col>
          <xdr:colOff>342900</xdr:colOff>
          <xdr:row>42</xdr:row>
          <xdr:rowOff>266700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42</xdr:row>
          <xdr:rowOff>38100</xdr:rowOff>
        </xdr:from>
        <xdr:to>
          <xdr:col>9</xdr:col>
          <xdr:colOff>342900</xdr:colOff>
          <xdr:row>42</xdr:row>
          <xdr:rowOff>266700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42</xdr:row>
          <xdr:rowOff>38100</xdr:rowOff>
        </xdr:from>
        <xdr:to>
          <xdr:col>10</xdr:col>
          <xdr:colOff>342900</xdr:colOff>
          <xdr:row>42</xdr:row>
          <xdr:rowOff>266700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42</xdr:row>
          <xdr:rowOff>38100</xdr:rowOff>
        </xdr:from>
        <xdr:to>
          <xdr:col>11</xdr:col>
          <xdr:colOff>342900</xdr:colOff>
          <xdr:row>42</xdr:row>
          <xdr:rowOff>266700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00000000-0008-0000-0000-0000C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42</xdr:row>
          <xdr:rowOff>38100</xdr:rowOff>
        </xdr:from>
        <xdr:to>
          <xdr:col>12</xdr:col>
          <xdr:colOff>342900</xdr:colOff>
          <xdr:row>42</xdr:row>
          <xdr:rowOff>266700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00000000-0008-0000-0000-0000C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42</xdr:row>
          <xdr:rowOff>38100</xdr:rowOff>
        </xdr:from>
        <xdr:to>
          <xdr:col>13</xdr:col>
          <xdr:colOff>342900</xdr:colOff>
          <xdr:row>42</xdr:row>
          <xdr:rowOff>266700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0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42</xdr:row>
          <xdr:rowOff>38100</xdr:rowOff>
        </xdr:from>
        <xdr:to>
          <xdr:col>14</xdr:col>
          <xdr:colOff>342900</xdr:colOff>
          <xdr:row>42</xdr:row>
          <xdr:rowOff>266700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42</xdr:row>
          <xdr:rowOff>38100</xdr:rowOff>
        </xdr:from>
        <xdr:to>
          <xdr:col>15</xdr:col>
          <xdr:colOff>342900</xdr:colOff>
          <xdr:row>42</xdr:row>
          <xdr:rowOff>266700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0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42</xdr:row>
          <xdr:rowOff>38100</xdr:rowOff>
        </xdr:from>
        <xdr:to>
          <xdr:col>16</xdr:col>
          <xdr:colOff>342900</xdr:colOff>
          <xdr:row>42</xdr:row>
          <xdr:rowOff>266700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00000000-0008-0000-0000-0000D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42</xdr:row>
          <xdr:rowOff>38100</xdr:rowOff>
        </xdr:from>
        <xdr:to>
          <xdr:col>17</xdr:col>
          <xdr:colOff>342900</xdr:colOff>
          <xdr:row>42</xdr:row>
          <xdr:rowOff>266700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00000000-0008-0000-0000-0000D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42</xdr:row>
          <xdr:rowOff>38100</xdr:rowOff>
        </xdr:from>
        <xdr:to>
          <xdr:col>18</xdr:col>
          <xdr:colOff>342900</xdr:colOff>
          <xdr:row>42</xdr:row>
          <xdr:rowOff>266700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00000000-0008-0000-0000-0000D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42</xdr:row>
          <xdr:rowOff>38100</xdr:rowOff>
        </xdr:from>
        <xdr:to>
          <xdr:col>19</xdr:col>
          <xdr:colOff>342900</xdr:colOff>
          <xdr:row>42</xdr:row>
          <xdr:rowOff>266700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00000000-0008-0000-0000-0000D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42</xdr:row>
          <xdr:rowOff>38100</xdr:rowOff>
        </xdr:from>
        <xdr:to>
          <xdr:col>20</xdr:col>
          <xdr:colOff>342900</xdr:colOff>
          <xdr:row>42</xdr:row>
          <xdr:rowOff>266700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42</xdr:row>
          <xdr:rowOff>38100</xdr:rowOff>
        </xdr:from>
        <xdr:to>
          <xdr:col>21</xdr:col>
          <xdr:colOff>342900</xdr:colOff>
          <xdr:row>42</xdr:row>
          <xdr:rowOff>266700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42</xdr:row>
          <xdr:rowOff>38100</xdr:rowOff>
        </xdr:from>
        <xdr:to>
          <xdr:col>22</xdr:col>
          <xdr:colOff>342900</xdr:colOff>
          <xdr:row>42</xdr:row>
          <xdr:rowOff>266700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42</xdr:row>
          <xdr:rowOff>38100</xdr:rowOff>
        </xdr:from>
        <xdr:to>
          <xdr:col>23</xdr:col>
          <xdr:colOff>342900</xdr:colOff>
          <xdr:row>42</xdr:row>
          <xdr:rowOff>266700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42</xdr:row>
          <xdr:rowOff>38100</xdr:rowOff>
        </xdr:from>
        <xdr:to>
          <xdr:col>24</xdr:col>
          <xdr:colOff>342900</xdr:colOff>
          <xdr:row>42</xdr:row>
          <xdr:rowOff>266700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42</xdr:row>
          <xdr:rowOff>38100</xdr:rowOff>
        </xdr:from>
        <xdr:to>
          <xdr:col>25</xdr:col>
          <xdr:colOff>342900</xdr:colOff>
          <xdr:row>42</xdr:row>
          <xdr:rowOff>266700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42</xdr:row>
          <xdr:rowOff>38100</xdr:rowOff>
        </xdr:from>
        <xdr:to>
          <xdr:col>26</xdr:col>
          <xdr:colOff>342900</xdr:colOff>
          <xdr:row>42</xdr:row>
          <xdr:rowOff>266700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42</xdr:row>
          <xdr:rowOff>38100</xdr:rowOff>
        </xdr:from>
        <xdr:to>
          <xdr:col>27</xdr:col>
          <xdr:colOff>342900</xdr:colOff>
          <xdr:row>42</xdr:row>
          <xdr:rowOff>266700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42</xdr:row>
          <xdr:rowOff>38100</xdr:rowOff>
        </xdr:from>
        <xdr:to>
          <xdr:col>28</xdr:col>
          <xdr:colOff>342900</xdr:colOff>
          <xdr:row>42</xdr:row>
          <xdr:rowOff>266700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42</xdr:row>
          <xdr:rowOff>38100</xdr:rowOff>
        </xdr:from>
        <xdr:to>
          <xdr:col>29</xdr:col>
          <xdr:colOff>342900</xdr:colOff>
          <xdr:row>42</xdr:row>
          <xdr:rowOff>266700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42</xdr:row>
          <xdr:rowOff>38100</xdr:rowOff>
        </xdr:from>
        <xdr:to>
          <xdr:col>30</xdr:col>
          <xdr:colOff>342900</xdr:colOff>
          <xdr:row>42</xdr:row>
          <xdr:rowOff>266700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42</xdr:row>
          <xdr:rowOff>38100</xdr:rowOff>
        </xdr:from>
        <xdr:to>
          <xdr:col>31</xdr:col>
          <xdr:colOff>342900</xdr:colOff>
          <xdr:row>42</xdr:row>
          <xdr:rowOff>266700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0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42</xdr:row>
          <xdr:rowOff>38100</xdr:rowOff>
        </xdr:from>
        <xdr:to>
          <xdr:col>32</xdr:col>
          <xdr:colOff>342900</xdr:colOff>
          <xdr:row>42</xdr:row>
          <xdr:rowOff>266700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42</xdr:row>
          <xdr:rowOff>38100</xdr:rowOff>
        </xdr:from>
        <xdr:to>
          <xdr:col>33</xdr:col>
          <xdr:colOff>342900</xdr:colOff>
          <xdr:row>42</xdr:row>
          <xdr:rowOff>266700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42</xdr:row>
          <xdr:rowOff>38100</xdr:rowOff>
        </xdr:from>
        <xdr:to>
          <xdr:col>34</xdr:col>
          <xdr:colOff>342900</xdr:colOff>
          <xdr:row>42</xdr:row>
          <xdr:rowOff>266700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42</xdr:row>
          <xdr:rowOff>38100</xdr:rowOff>
        </xdr:from>
        <xdr:to>
          <xdr:col>35</xdr:col>
          <xdr:colOff>342900</xdr:colOff>
          <xdr:row>42</xdr:row>
          <xdr:rowOff>266700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42</xdr:row>
          <xdr:rowOff>38100</xdr:rowOff>
        </xdr:from>
        <xdr:to>
          <xdr:col>36</xdr:col>
          <xdr:colOff>342900</xdr:colOff>
          <xdr:row>42</xdr:row>
          <xdr:rowOff>266700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42</xdr:row>
          <xdr:rowOff>38100</xdr:rowOff>
        </xdr:from>
        <xdr:to>
          <xdr:col>37</xdr:col>
          <xdr:colOff>342900</xdr:colOff>
          <xdr:row>42</xdr:row>
          <xdr:rowOff>266700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43</xdr:row>
          <xdr:rowOff>38100</xdr:rowOff>
        </xdr:from>
        <xdr:to>
          <xdr:col>7</xdr:col>
          <xdr:colOff>342900</xdr:colOff>
          <xdr:row>43</xdr:row>
          <xdr:rowOff>266700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43</xdr:row>
          <xdr:rowOff>38100</xdr:rowOff>
        </xdr:from>
        <xdr:to>
          <xdr:col>8</xdr:col>
          <xdr:colOff>342900</xdr:colOff>
          <xdr:row>43</xdr:row>
          <xdr:rowOff>266700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43</xdr:row>
          <xdr:rowOff>38100</xdr:rowOff>
        </xdr:from>
        <xdr:to>
          <xdr:col>9</xdr:col>
          <xdr:colOff>342900</xdr:colOff>
          <xdr:row>43</xdr:row>
          <xdr:rowOff>266700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43</xdr:row>
          <xdr:rowOff>38100</xdr:rowOff>
        </xdr:from>
        <xdr:to>
          <xdr:col>10</xdr:col>
          <xdr:colOff>342900</xdr:colOff>
          <xdr:row>43</xdr:row>
          <xdr:rowOff>266700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43</xdr:row>
          <xdr:rowOff>38100</xdr:rowOff>
        </xdr:from>
        <xdr:to>
          <xdr:col>11</xdr:col>
          <xdr:colOff>342900</xdr:colOff>
          <xdr:row>43</xdr:row>
          <xdr:rowOff>266700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43</xdr:row>
          <xdr:rowOff>38100</xdr:rowOff>
        </xdr:from>
        <xdr:to>
          <xdr:col>12</xdr:col>
          <xdr:colOff>342900</xdr:colOff>
          <xdr:row>43</xdr:row>
          <xdr:rowOff>266700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43</xdr:row>
          <xdr:rowOff>38100</xdr:rowOff>
        </xdr:from>
        <xdr:to>
          <xdr:col>13</xdr:col>
          <xdr:colOff>342900</xdr:colOff>
          <xdr:row>43</xdr:row>
          <xdr:rowOff>266700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43</xdr:row>
          <xdr:rowOff>38100</xdr:rowOff>
        </xdr:from>
        <xdr:to>
          <xdr:col>14</xdr:col>
          <xdr:colOff>342900</xdr:colOff>
          <xdr:row>43</xdr:row>
          <xdr:rowOff>266700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43</xdr:row>
          <xdr:rowOff>38100</xdr:rowOff>
        </xdr:from>
        <xdr:to>
          <xdr:col>15</xdr:col>
          <xdr:colOff>342900</xdr:colOff>
          <xdr:row>43</xdr:row>
          <xdr:rowOff>266700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0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43</xdr:row>
          <xdr:rowOff>38100</xdr:rowOff>
        </xdr:from>
        <xdr:to>
          <xdr:col>16</xdr:col>
          <xdr:colOff>342900</xdr:colOff>
          <xdr:row>43</xdr:row>
          <xdr:rowOff>266700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43</xdr:row>
          <xdr:rowOff>38100</xdr:rowOff>
        </xdr:from>
        <xdr:to>
          <xdr:col>17</xdr:col>
          <xdr:colOff>342900</xdr:colOff>
          <xdr:row>43</xdr:row>
          <xdr:rowOff>266700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43</xdr:row>
          <xdr:rowOff>38100</xdr:rowOff>
        </xdr:from>
        <xdr:to>
          <xdr:col>18</xdr:col>
          <xdr:colOff>342900</xdr:colOff>
          <xdr:row>43</xdr:row>
          <xdr:rowOff>266700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43</xdr:row>
          <xdr:rowOff>38100</xdr:rowOff>
        </xdr:from>
        <xdr:to>
          <xdr:col>19</xdr:col>
          <xdr:colOff>342900</xdr:colOff>
          <xdr:row>43</xdr:row>
          <xdr:rowOff>266700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43</xdr:row>
          <xdr:rowOff>38100</xdr:rowOff>
        </xdr:from>
        <xdr:to>
          <xdr:col>20</xdr:col>
          <xdr:colOff>342900</xdr:colOff>
          <xdr:row>43</xdr:row>
          <xdr:rowOff>266700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43</xdr:row>
          <xdr:rowOff>38100</xdr:rowOff>
        </xdr:from>
        <xdr:to>
          <xdr:col>21</xdr:col>
          <xdr:colOff>342900</xdr:colOff>
          <xdr:row>43</xdr:row>
          <xdr:rowOff>266700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43</xdr:row>
          <xdr:rowOff>38100</xdr:rowOff>
        </xdr:from>
        <xdr:to>
          <xdr:col>22</xdr:col>
          <xdr:colOff>342900</xdr:colOff>
          <xdr:row>43</xdr:row>
          <xdr:rowOff>266700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0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43</xdr:row>
          <xdr:rowOff>38100</xdr:rowOff>
        </xdr:from>
        <xdr:to>
          <xdr:col>23</xdr:col>
          <xdr:colOff>342900</xdr:colOff>
          <xdr:row>43</xdr:row>
          <xdr:rowOff>266700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43</xdr:row>
          <xdr:rowOff>38100</xdr:rowOff>
        </xdr:from>
        <xdr:to>
          <xdr:col>24</xdr:col>
          <xdr:colOff>342900</xdr:colOff>
          <xdr:row>43</xdr:row>
          <xdr:rowOff>266700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43</xdr:row>
          <xdr:rowOff>38100</xdr:rowOff>
        </xdr:from>
        <xdr:to>
          <xdr:col>25</xdr:col>
          <xdr:colOff>342900</xdr:colOff>
          <xdr:row>43</xdr:row>
          <xdr:rowOff>266700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43</xdr:row>
          <xdr:rowOff>38100</xdr:rowOff>
        </xdr:from>
        <xdr:to>
          <xdr:col>26</xdr:col>
          <xdr:colOff>342900</xdr:colOff>
          <xdr:row>43</xdr:row>
          <xdr:rowOff>266700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43</xdr:row>
          <xdr:rowOff>38100</xdr:rowOff>
        </xdr:from>
        <xdr:to>
          <xdr:col>27</xdr:col>
          <xdr:colOff>342900</xdr:colOff>
          <xdr:row>43</xdr:row>
          <xdr:rowOff>266700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43</xdr:row>
          <xdr:rowOff>38100</xdr:rowOff>
        </xdr:from>
        <xdr:to>
          <xdr:col>28</xdr:col>
          <xdr:colOff>342900</xdr:colOff>
          <xdr:row>43</xdr:row>
          <xdr:rowOff>266700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43</xdr:row>
          <xdr:rowOff>38100</xdr:rowOff>
        </xdr:from>
        <xdr:to>
          <xdr:col>29</xdr:col>
          <xdr:colOff>342900</xdr:colOff>
          <xdr:row>43</xdr:row>
          <xdr:rowOff>266700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43</xdr:row>
          <xdr:rowOff>38100</xdr:rowOff>
        </xdr:from>
        <xdr:to>
          <xdr:col>30</xdr:col>
          <xdr:colOff>342900</xdr:colOff>
          <xdr:row>43</xdr:row>
          <xdr:rowOff>266700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43</xdr:row>
          <xdr:rowOff>38100</xdr:rowOff>
        </xdr:from>
        <xdr:to>
          <xdr:col>31</xdr:col>
          <xdr:colOff>342900</xdr:colOff>
          <xdr:row>43</xdr:row>
          <xdr:rowOff>266700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43</xdr:row>
          <xdr:rowOff>38100</xdr:rowOff>
        </xdr:from>
        <xdr:to>
          <xdr:col>32</xdr:col>
          <xdr:colOff>342900</xdr:colOff>
          <xdr:row>43</xdr:row>
          <xdr:rowOff>266700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43</xdr:row>
          <xdr:rowOff>38100</xdr:rowOff>
        </xdr:from>
        <xdr:to>
          <xdr:col>33</xdr:col>
          <xdr:colOff>342900</xdr:colOff>
          <xdr:row>43</xdr:row>
          <xdr:rowOff>266700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43</xdr:row>
          <xdr:rowOff>38100</xdr:rowOff>
        </xdr:from>
        <xdr:to>
          <xdr:col>34</xdr:col>
          <xdr:colOff>342900</xdr:colOff>
          <xdr:row>43</xdr:row>
          <xdr:rowOff>266700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43</xdr:row>
          <xdr:rowOff>38100</xdr:rowOff>
        </xdr:from>
        <xdr:to>
          <xdr:col>35</xdr:col>
          <xdr:colOff>342900</xdr:colOff>
          <xdr:row>43</xdr:row>
          <xdr:rowOff>266700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0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43</xdr:row>
          <xdr:rowOff>38100</xdr:rowOff>
        </xdr:from>
        <xdr:to>
          <xdr:col>36</xdr:col>
          <xdr:colOff>342900</xdr:colOff>
          <xdr:row>43</xdr:row>
          <xdr:rowOff>266700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43</xdr:row>
          <xdr:rowOff>38100</xdr:rowOff>
        </xdr:from>
        <xdr:to>
          <xdr:col>37</xdr:col>
          <xdr:colOff>342900</xdr:colOff>
          <xdr:row>43</xdr:row>
          <xdr:rowOff>266700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44</xdr:row>
          <xdr:rowOff>38100</xdr:rowOff>
        </xdr:from>
        <xdr:to>
          <xdr:col>7</xdr:col>
          <xdr:colOff>342900</xdr:colOff>
          <xdr:row>44</xdr:row>
          <xdr:rowOff>266700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44</xdr:row>
          <xdr:rowOff>38100</xdr:rowOff>
        </xdr:from>
        <xdr:to>
          <xdr:col>8</xdr:col>
          <xdr:colOff>342900</xdr:colOff>
          <xdr:row>44</xdr:row>
          <xdr:rowOff>266700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44</xdr:row>
          <xdr:rowOff>38100</xdr:rowOff>
        </xdr:from>
        <xdr:to>
          <xdr:col>9</xdr:col>
          <xdr:colOff>342900</xdr:colOff>
          <xdr:row>44</xdr:row>
          <xdr:rowOff>266700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44</xdr:row>
          <xdr:rowOff>38100</xdr:rowOff>
        </xdr:from>
        <xdr:to>
          <xdr:col>10</xdr:col>
          <xdr:colOff>342900</xdr:colOff>
          <xdr:row>44</xdr:row>
          <xdr:rowOff>266700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44</xdr:row>
          <xdr:rowOff>38100</xdr:rowOff>
        </xdr:from>
        <xdr:to>
          <xdr:col>11</xdr:col>
          <xdr:colOff>342900</xdr:colOff>
          <xdr:row>44</xdr:row>
          <xdr:rowOff>266700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44</xdr:row>
          <xdr:rowOff>38100</xdr:rowOff>
        </xdr:from>
        <xdr:to>
          <xdr:col>12</xdr:col>
          <xdr:colOff>342900</xdr:colOff>
          <xdr:row>44</xdr:row>
          <xdr:rowOff>266700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44</xdr:row>
          <xdr:rowOff>38100</xdr:rowOff>
        </xdr:from>
        <xdr:to>
          <xdr:col>13</xdr:col>
          <xdr:colOff>342900</xdr:colOff>
          <xdr:row>44</xdr:row>
          <xdr:rowOff>266700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44</xdr:row>
          <xdr:rowOff>38100</xdr:rowOff>
        </xdr:from>
        <xdr:to>
          <xdr:col>14</xdr:col>
          <xdr:colOff>342900</xdr:colOff>
          <xdr:row>44</xdr:row>
          <xdr:rowOff>266700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44</xdr:row>
          <xdr:rowOff>38100</xdr:rowOff>
        </xdr:from>
        <xdr:to>
          <xdr:col>15</xdr:col>
          <xdr:colOff>342900</xdr:colOff>
          <xdr:row>44</xdr:row>
          <xdr:rowOff>266700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44</xdr:row>
          <xdr:rowOff>38100</xdr:rowOff>
        </xdr:from>
        <xdr:to>
          <xdr:col>16</xdr:col>
          <xdr:colOff>342900</xdr:colOff>
          <xdr:row>44</xdr:row>
          <xdr:rowOff>266700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44</xdr:row>
          <xdr:rowOff>38100</xdr:rowOff>
        </xdr:from>
        <xdr:to>
          <xdr:col>17</xdr:col>
          <xdr:colOff>342900</xdr:colOff>
          <xdr:row>44</xdr:row>
          <xdr:rowOff>266700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44</xdr:row>
          <xdr:rowOff>38100</xdr:rowOff>
        </xdr:from>
        <xdr:to>
          <xdr:col>18</xdr:col>
          <xdr:colOff>342900</xdr:colOff>
          <xdr:row>44</xdr:row>
          <xdr:rowOff>266700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44</xdr:row>
          <xdr:rowOff>38100</xdr:rowOff>
        </xdr:from>
        <xdr:to>
          <xdr:col>19</xdr:col>
          <xdr:colOff>342900</xdr:colOff>
          <xdr:row>44</xdr:row>
          <xdr:rowOff>266700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44</xdr:row>
          <xdr:rowOff>38100</xdr:rowOff>
        </xdr:from>
        <xdr:to>
          <xdr:col>20</xdr:col>
          <xdr:colOff>342900</xdr:colOff>
          <xdr:row>44</xdr:row>
          <xdr:rowOff>266700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44</xdr:row>
          <xdr:rowOff>38100</xdr:rowOff>
        </xdr:from>
        <xdr:to>
          <xdr:col>21</xdr:col>
          <xdr:colOff>342900</xdr:colOff>
          <xdr:row>44</xdr:row>
          <xdr:rowOff>266700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44</xdr:row>
          <xdr:rowOff>38100</xdr:rowOff>
        </xdr:from>
        <xdr:to>
          <xdr:col>22</xdr:col>
          <xdr:colOff>342900</xdr:colOff>
          <xdr:row>44</xdr:row>
          <xdr:rowOff>266700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44</xdr:row>
          <xdr:rowOff>38100</xdr:rowOff>
        </xdr:from>
        <xdr:to>
          <xdr:col>23</xdr:col>
          <xdr:colOff>342900</xdr:colOff>
          <xdr:row>44</xdr:row>
          <xdr:rowOff>266700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44</xdr:row>
          <xdr:rowOff>38100</xdr:rowOff>
        </xdr:from>
        <xdr:to>
          <xdr:col>24</xdr:col>
          <xdr:colOff>342900</xdr:colOff>
          <xdr:row>44</xdr:row>
          <xdr:rowOff>266700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44</xdr:row>
          <xdr:rowOff>38100</xdr:rowOff>
        </xdr:from>
        <xdr:to>
          <xdr:col>25</xdr:col>
          <xdr:colOff>342900</xdr:colOff>
          <xdr:row>44</xdr:row>
          <xdr:rowOff>266700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44</xdr:row>
          <xdr:rowOff>38100</xdr:rowOff>
        </xdr:from>
        <xdr:to>
          <xdr:col>26</xdr:col>
          <xdr:colOff>342900</xdr:colOff>
          <xdr:row>44</xdr:row>
          <xdr:rowOff>266700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44</xdr:row>
          <xdr:rowOff>38100</xdr:rowOff>
        </xdr:from>
        <xdr:to>
          <xdr:col>27</xdr:col>
          <xdr:colOff>342900</xdr:colOff>
          <xdr:row>44</xdr:row>
          <xdr:rowOff>266700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44</xdr:row>
          <xdr:rowOff>38100</xdr:rowOff>
        </xdr:from>
        <xdr:to>
          <xdr:col>28</xdr:col>
          <xdr:colOff>342900</xdr:colOff>
          <xdr:row>44</xdr:row>
          <xdr:rowOff>266700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44</xdr:row>
          <xdr:rowOff>38100</xdr:rowOff>
        </xdr:from>
        <xdr:to>
          <xdr:col>29</xdr:col>
          <xdr:colOff>342900</xdr:colOff>
          <xdr:row>44</xdr:row>
          <xdr:rowOff>266700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44</xdr:row>
          <xdr:rowOff>38100</xdr:rowOff>
        </xdr:from>
        <xdr:to>
          <xdr:col>30</xdr:col>
          <xdr:colOff>342900</xdr:colOff>
          <xdr:row>44</xdr:row>
          <xdr:rowOff>266700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44</xdr:row>
          <xdr:rowOff>38100</xdr:rowOff>
        </xdr:from>
        <xdr:to>
          <xdr:col>31</xdr:col>
          <xdr:colOff>342900</xdr:colOff>
          <xdr:row>44</xdr:row>
          <xdr:rowOff>266700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44</xdr:row>
          <xdr:rowOff>38100</xdr:rowOff>
        </xdr:from>
        <xdr:to>
          <xdr:col>32</xdr:col>
          <xdr:colOff>342900</xdr:colOff>
          <xdr:row>44</xdr:row>
          <xdr:rowOff>266700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44</xdr:row>
          <xdr:rowOff>38100</xdr:rowOff>
        </xdr:from>
        <xdr:to>
          <xdr:col>33</xdr:col>
          <xdr:colOff>342900</xdr:colOff>
          <xdr:row>44</xdr:row>
          <xdr:rowOff>266700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0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44</xdr:row>
          <xdr:rowOff>38100</xdr:rowOff>
        </xdr:from>
        <xdr:to>
          <xdr:col>34</xdr:col>
          <xdr:colOff>342900</xdr:colOff>
          <xdr:row>44</xdr:row>
          <xdr:rowOff>266700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44</xdr:row>
          <xdr:rowOff>38100</xdr:rowOff>
        </xdr:from>
        <xdr:to>
          <xdr:col>35</xdr:col>
          <xdr:colOff>342900</xdr:colOff>
          <xdr:row>44</xdr:row>
          <xdr:rowOff>266700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44</xdr:row>
          <xdr:rowOff>38100</xdr:rowOff>
        </xdr:from>
        <xdr:to>
          <xdr:col>36</xdr:col>
          <xdr:colOff>342900</xdr:colOff>
          <xdr:row>44</xdr:row>
          <xdr:rowOff>266700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44</xdr:row>
          <xdr:rowOff>38100</xdr:rowOff>
        </xdr:from>
        <xdr:to>
          <xdr:col>37</xdr:col>
          <xdr:colOff>342900</xdr:colOff>
          <xdr:row>44</xdr:row>
          <xdr:rowOff>266700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45</xdr:row>
          <xdr:rowOff>38100</xdr:rowOff>
        </xdr:from>
        <xdr:to>
          <xdr:col>7</xdr:col>
          <xdr:colOff>342900</xdr:colOff>
          <xdr:row>45</xdr:row>
          <xdr:rowOff>266700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45</xdr:row>
          <xdr:rowOff>38100</xdr:rowOff>
        </xdr:from>
        <xdr:to>
          <xdr:col>8</xdr:col>
          <xdr:colOff>342900</xdr:colOff>
          <xdr:row>45</xdr:row>
          <xdr:rowOff>266700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45</xdr:row>
          <xdr:rowOff>38100</xdr:rowOff>
        </xdr:from>
        <xdr:to>
          <xdr:col>9</xdr:col>
          <xdr:colOff>342900</xdr:colOff>
          <xdr:row>45</xdr:row>
          <xdr:rowOff>266700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45</xdr:row>
          <xdr:rowOff>38100</xdr:rowOff>
        </xdr:from>
        <xdr:to>
          <xdr:col>10</xdr:col>
          <xdr:colOff>342900</xdr:colOff>
          <xdr:row>45</xdr:row>
          <xdr:rowOff>266700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45</xdr:row>
          <xdr:rowOff>38100</xdr:rowOff>
        </xdr:from>
        <xdr:to>
          <xdr:col>11</xdr:col>
          <xdr:colOff>342900</xdr:colOff>
          <xdr:row>45</xdr:row>
          <xdr:rowOff>266700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45</xdr:row>
          <xdr:rowOff>38100</xdr:rowOff>
        </xdr:from>
        <xdr:to>
          <xdr:col>12</xdr:col>
          <xdr:colOff>342900</xdr:colOff>
          <xdr:row>45</xdr:row>
          <xdr:rowOff>266700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45</xdr:row>
          <xdr:rowOff>38100</xdr:rowOff>
        </xdr:from>
        <xdr:to>
          <xdr:col>13</xdr:col>
          <xdr:colOff>342900</xdr:colOff>
          <xdr:row>45</xdr:row>
          <xdr:rowOff>266700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45</xdr:row>
          <xdr:rowOff>38100</xdr:rowOff>
        </xdr:from>
        <xdr:to>
          <xdr:col>14</xdr:col>
          <xdr:colOff>342900</xdr:colOff>
          <xdr:row>45</xdr:row>
          <xdr:rowOff>266700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45</xdr:row>
          <xdr:rowOff>38100</xdr:rowOff>
        </xdr:from>
        <xdr:to>
          <xdr:col>15</xdr:col>
          <xdr:colOff>342900</xdr:colOff>
          <xdr:row>45</xdr:row>
          <xdr:rowOff>266700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45</xdr:row>
          <xdr:rowOff>38100</xdr:rowOff>
        </xdr:from>
        <xdr:to>
          <xdr:col>16</xdr:col>
          <xdr:colOff>342900</xdr:colOff>
          <xdr:row>45</xdr:row>
          <xdr:rowOff>266700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45</xdr:row>
          <xdr:rowOff>38100</xdr:rowOff>
        </xdr:from>
        <xdr:to>
          <xdr:col>17</xdr:col>
          <xdr:colOff>342900</xdr:colOff>
          <xdr:row>45</xdr:row>
          <xdr:rowOff>266700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45</xdr:row>
          <xdr:rowOff>38100</xdr:rowOff>
        </xdr:from>
        <xdr:to>
          <xdr:col>18</xdr:col>
          <xdr:colOff>342900</xdr:colOff>
          <xdr:row>45</xdr:row>
          <xdr:rowOff>266700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45</xdr:row>
          <xdr:rowOff>38100</xdr:rowOff>
        </xdr:from>
        <xdr:to>
          <xdr:col>19</xdr:col>
          <xdr:colOff>342900</xdr:colOff>
          <xdr:row>45</xdr:row>
          <xdr:rowOff>266700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45</xdr:row>
          <xdr:rowOff>38100</xdr:rowOff>
        </xdr:from>
        <xdr:to>
          <xdr:col>20</xdr:col>
          <xdr:colOff>342900</xdr:colOff>
          <xdr:row>45</xdr:row>
          <xdr:rowOff>266700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45</xdr:row>
          <xdr:rowOff>38100</xdr:rowOff>
        </xdr:from>
        <xdr:to>
          <xdr:col>21</xdr:col>
          <xdr:colOff>342900</xdr:colOff>
          <xdr:row>45</xdr:row>
          <xdr:rowOff>266700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45</xdr:row>
          <xdr:rowOff>38100</xdr:rowOff>
        </xdr:from>
        <xdr:to>
          <xdr:col>22</xdr:col>
          <xdr:colOff>342900</xdr:colOff>
          <xdr:row>45</xdr:row>
          <xdr:rowOff>266700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45</xdr:row>
          <xdr:rowOff>38100</xdr:rowOff>
        </xdr:from>
        <xdr:to>
          <xdr:col>23</xdr:col>
          <xdr:colOff>342900</xdr:colOff>
          <xdr:row>45</xdr:row>
          <xdr:rowOff>266700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45</xdr:row>
          <xdr:rowOff>38100</xdr:rowOff>
        </xdr:from>
        <xdr:to>
          <xdr:col>24</xdr:col>
          <xdr:colOff>342900</xdr:colOff>
          <xdr:row>45</xdr:row>
          <xdr:rowOff>266700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45</xdr:row>
          <xdr:rowOff>38100</xdr:rowOff>
        </xdr:from>
        <xdr:to>
          <xdr:col>25</xdr:col>
          <xdr:colOff>342900</xdr:colOff>
          <xdr:row>45</xdr:row>
          <xdr:rowOff>266700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45</xdr:row>
          <xdr:rowOff>38100</xdr:rowOff>
        </xdr:from>
        <xdr:to>
          <xdr:col>26</xdr:col>
          <xdr:colOff>342900</xdr:colOff>
          <xdr:row>45</xdr:row>
          <xdr:rowOff>266700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45</xdr:row>
          <xdr:rowOff>38100</xdr:rowOff>
        </xdr:from>
        <xdr:to>
          <xdr:col>27</xdr:col>
          <xdr:colOff>342900</xdr:colOff>
          <xdr:row>45</xdr:row>
          <xdr:rowOff>266700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45</xdr:row>
          <xdr:rowOff>38100</xdr:rowOff>
        </xdr:from>
        <xdr:to>
          <xdr:col>28</xdr:col>
          <xdr:colOff>342900</xdr:colOff>
          <xdr:row>45</xdr:row>
          <xdr:rowOff>266700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45</xdr:row>
          <xdr:rowOff>38100</xdr:rowOff>
        </xdr:from>
        <xdr:to>
          <xdr:col>29</xdr:col>
          <xdr:colOff>342900</xdr:colOff>
          <xdr:row>45</xdr:row>
          <xdr:rowOff>266700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45</xdr:row>
          <xdr:rowOff>38100</xdr:rowOff>
        </xdr:from>
        <xdr:to>
          <xdr:col>30</xdr:col>
          <xdr:colOff>342900</xdr:colOff>
          <xdr:row>45</xdr:row>
          <xdr:rowOff>266700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45</xdr:row>
          <xdr:rowOff>38100</xdr:rowOff>
        </xdr:from>
        <xdr:to>
          <xdr:col>31</xdr:col>
          <xdr:colOff>342900</xdr:colOff>
          <xdr:row>45</xdr:row>
          <xdr:rowOff>266700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45</xdr:row>
          <xdr:rowOff>38100</xdr:rowOff>
        </xdr:from>
        <xdr:to>
          <xdr:col>32</xdr:col>
          <xdr:colOff>342900</xdr:colOff>
          <xdr:row>45</xdr:row>
          <xdr:rowOff>266700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45</xdr:row>
          <xdr:rowOff>38100</xdr:rowOff>
        </xdr:from>
        <xdr:to>
          <xdr:col>33</xdr:col>
          <xdr:colOff>342900</xdr:colOff>
          <xdr:row>45</xdr:row>
          <xdr:rowOff>266700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45</xdr:row>
          <xdr:rowOff>38100</xdr:rowOff>
        </xdr:from>
        <xdr:to>
          <xdr:col>34</xdr:col>
          <xdr:colOff>342900</xdr:colOff>
          <xdr:row>45</xdr:row>
          <xdr:rowOff>266700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45</xdr:row>
          <xdr:rowOff>38100</xdr:rowOff>
        </xdr:from>
        <xdr:to>
          <xdr:col>35</xdr:col>
          <xdr:colOff>342900</xdr:colOff>
          <xdr:row>45</xdr:row>
          <xdr:rowOff>266700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45</xdr:row>
          <xdr:rowOff>38100</xdr:rowOff>
        </xdr:from>
        <xdr:to>
          <xdr:col>36</xdr:col>
          <xdr:colOff>342900</xdr:colOff>
          <xdr:row>45</xdr:row>
          <xdr:rowOff>266700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45</xdr:row>
          <xdr:rowOff>38100</xdr:rowOff>
        </xdr:from>
        <xdr:to>
          <xdr:col>37</xdr:col>
          <xdr:colOff>342900</xdr:colOff>
          <xdr:row>45</xdr:row>
          <xdr:rowOff>266700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0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46</xdr:row>
          <xdr:rowOff>38100</xdr:rowOff>
        </xdr:from>
        <xdr:to>
          <xdr:col>7</xdr:col>
          <xdr:colOff>342900</xdr:colOff>
          <xdr:row>46</xdr:row>
          <xdr:rowOff>266700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46</xdr:row>
          <xdr:rowOff>38100</xdr:rowOff>
        </xdr:from>
        <xdr:to>
          <xdr:col>8</xdr:col>
          <xdr:colOff>342900</xdr:colOff>
          <xdr:row>46</xdr:row>
          <xdr:rowOff>266700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46</xdr:row>
          <xdr:rowOff>38100</xdr:rowOff>
        </xdr:from>
        <xdr:to>
          <xdr:col>9</xdr:col>
          <xdr:colOff>342900</xdr:colOff>
          <xdr:row>46</xdr:row>
          <xdr:rowOff>266700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46</xdr:row>
          <xdr:rowOff>38100</xdr:rowOff>
        </xdr:from>
        <xdr:to>
          <xdr:col>10</xdr:col>
          <xdr:colOff>342900</xdr:colOff>
          <xdr:row>46</xdr:row>
          <xdr:rowOff>266700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46</xdr:row>
          <xdr:rowOff>38100</xdr:rowOff>
        </xdr:from>
        <xdr:to>
          <xdr:col>11</xdr:col>
          <xdr:colOff>342900</xdr:colOff>
          <xdr:row>46</xdr:row>
          <xdr:rowOff>266700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46</xdr:row>
          <xdr:rowOff>38100</xdr:rowOff>
        </xdr:from>
        <xdr:to>
          <xdr:col>12</xdr:col>
          <xdr:colOff>342900</xdr:colOff>
          <xdr:row>46</xdr:row>
          <xdr:rowOff>266700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46</xdr:row>
          <xdr:rowOff>38100</xdr:rowOff>
        </xdr:from>
        <xdr:to>
          <xdr:col>13</xdr:col>
          <xdr:colOff>342900</xdr:colOff>
          <xdr:row>46</xdr:row>
          <xdr:rowOff>266700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0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46</xdr:row>
          <xdr:rowOff>38100</xdr:rowOff>
        </xdr:from>
        <xdr:to>
          <xdr:col>14</xdr:col>
          <xdr:colOff>342900</xdr:colOff>
          <xdr:row>46</xdr:row>
          <xdr:rowOff>266700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46</xdr:row>
          <xdr:rowOff>38100</xdr:rowOff>
        </xdr:from>
        <xdr:to>
          <xdr:col>15</xdr:col>
          <xdr:colOff>342900</xdr:colOff>
          <xdr:row>46</xdr:row>
          <xdr:rowOff>266700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46</xdr:row>
          <xdr:rowOff>38100</xdr:rowOff>
        </xdr:from>
        <xdr:to>
          <xdr:col>16</xdr:col>
          <xdr:colOff>342900</xdr:colOff>
          <xdr:row>46</xdr:row>
          <xdr:rowOff>266700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46</xdr:row>
          <xdr:rowOff>38100</xdr:rowOff>
        </xdr:from>
        <xdr:to>
          <xdr:col>17</xdr:col>
          <xdr:colOff>342900</xdr:colOff>
          <xdr:row>46</xdr:row>
          <xdr:rowOff>266700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46</xdr:row>
          <xdr:rowOff>38100</xdr:rowOff>
        </xdr:from>
        <xdr:to>
          <xdr:col>18</xdr:col>
          <xdr:colOff>342900</xdr:colOff>
          <xdr:row>46</xdr:row>
          <xdr:rowOff>266700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46</xdr:row>
          <xdr:rowOff>38100</xdr:rowOff>
        </xdr:from>
        <xdr:to>
          <xdr:col>19</xdr:col>
          <xdr:colOff>342900</xdr:colOff>
          <xdr:row>46</xdr:row>
          <xdr:rowOff>266700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0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46</xdr:row>
          <xdr:rowOff>38100</xdr:rowOff>
        </xdr:from>
        <xdr:to>
          <xdr:col>20</xdr:col>
          <xdr:colOff>342900</xdr:colOff>
          <xdr:row>46</xdr:row>
          <xdr:rowOff>266700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0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46</xdr:row>
          <xdr:rowOff>38100</xdr:rowOff>
        </xdr:from>
        <xdr:to>
          <xdr:col>21</xdr:col>
          <xdr:colOff>342900</xdr:colOff>
          <xdr:row>46</xdr:row>
          <xdr:rowOff>266700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46</xdr:row>
          <xdr:rowOff>38100</xdr:rowOff>
        </xdr:from>
        <xdr:to>
          <xdr:col>22</xdr:col>
          <xdr:colOff>342900</xdr:colOff>
          <xdr:row>46</xdr:row>
          <xdr:rowOff>266700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46</xdr:row>
          <xdr:rowOff>38100</xdr:rowOff>
        </xdr:from>
        <xdr:to>
          <xdr:col>23</xdr:col>
          <xdr:colOff>342900</xdr:colOff>
          <xdr:row>46</xdr:row>
          <xdr:rowOff>266700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46</xdr:row>
          <xdr:rowOff>38100</xdr:rowOff>
        </xdr:from>
        <xdr:to>
          <xdr:col>24</xdr:col>
          <xdr:colOff>342900</xdr:colOff>
          <xdr:row>46</xdr:row>
          <xdr:rowOff>266700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46</xdr:row>
          <xdr:rowOff>38100</xdr:rowOff>
        </xdr:from>
        <xdr:to>
          <xdr:col>25</xdr:col>
          <xdr:colOff>342900</xdr:colOff>
          <xdr:row>46</xdr:row>
          <xdr:rowOff>266700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46</xdr:row>
          <xdr:rowOff>38100</xdr:rowOff>
        </xdr:from>
        <xdr:to>
          <xdr:col>26</xdr:col>
          <xdr:colOff>342900</xdr:colOff>
          <xdr:row>46</xdr:row>
          <xdr:rowOff>266700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0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46</xdr:row>
          <xdr:rowOff>38100</xdr:rowOff>
        </xdr:from>
        <xdr:to>
          <xdr:col>27</xdr:col>
          <xdr:colOff>342900</xdr:colOff>
          <xdr:row>46</xdr:row>
          <xdr:rowOff>266700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0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46</xdr:row>
          <xdr:rowOff>38100</xdr:rowOff>
        </xdr:from>
        <xdr:to>
          <xdr:col>28</xdr:col>
          <xdr:colOff>342900</xdr:colOff>
          <xdr:row>46</xdr:row>
          <xdr:rowOff>266700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46</xdr:row>
          <xdr:rowOff>38100</xdr:rowOff>
        </xdr:from>
        <xdr:to>
          <xdr:col>29</xdr:col>
          <xdr:colOff>342900</xdr:colOff>
          <xdr:row>46</xdr:row>
          <xdr:rowOff>266700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46</xdr:row>
          <xdr:rowOff>38100</xdr:rowOff>
        </xdr:from>
        <xdr:to>
          <xdr:col>30</xdr:col>
          <xdr:colOff>342900</xdr:colOff>
          <xdr:row>46</xdr:row>
          <xdr:rowOff>266700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46</xdr:row>
          <xdr:rowOff>38100</xdr:rowOff>
        </xdr:from>
        <xdr:to>
          <xdr:col>31</xdr:col>
          <xdr:colOff>342900</xdr:colOff>
          <xdr:row>46</xdr:row>
          <xdr:rowOff>266700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46</xdr:row>
          <xdr:rowOff>38100</xdr:rowOff>
        </xdr:from>
        <xdr:to>
          <xdr:col>32</xdr:col>
          <xdr:colOff>342900</xdr:colOff>
          <xdr:row>46</xdr:row>
          <xdr:rowOff>266700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46</xdr:row>
          <xdr:rowOff>38100</xdr:rowOff>
        </xdr:from>
        <xdr:to>
          <xdr:col>33</xdr:col>
          <xdr:colOff>342900</xdr:colOff>
          <xdr:row>46</xdr:row>
          <xdr:rowOff>266700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46</xdr:row>
          <xdr:rowOff>38100</xdr:rowOff>
        </xdr:from>
        <xdr:to>
          <xdr:col>34</xdr:col>
          <xdr:colOff>342900</xdr:colOff>
          <xdr:row>46</xdr:row>
          <xdr:rowOff>266700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46</xdr:row>
          <xdr:rowOff>38100</xdr:rowOff>
        </xdr:from>
        <xdr:to>
          <xdr:col>35</xdr:col>
          <xdr:colOff>342900</xdr:colOff>
          <xdr:row>46</xdr:row>
          <xdr:rowOff>266700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46</xdr:row>
          <xdr:rowOff>38100</xdr:rowOff>
        </xdr:from>
        <xdr:to>
          <xdr:col>36</xdr:col>
          <xdr:colOff>342900</xdr:colOff>
          <xdr:row>46</xdr:row>
          <xdr:rowOff>266700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46</xdr:row>
          <xdr:rowOff>38100</xdr:rowOff>
        </xdr:from>
        <xdr:to>
          <xdr:col>37</xdr:col>
          <xdr:colOff>342900</xdr:colOff>
          <xdr:row>46</xdr:row>
          <xdr:rowOff>266700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47</xdr:row>
          <xdr:rowOff>38100</xdr:rowOff>
        </xdr:from>
        <xdr:to>
          <xdr:col>7</xdr:col>
          <xdr:colOff>342900</xdr:colOff>
          <xdr:row>47</xdr:row>
          <xdr:rowOff>266700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47</xdr:row>
          <xdr:rowOff>38100</xdr:rowOff>
        </xdr:from>
        <xdr:to>
          <xdr:col>8</xdr:col>
          <xdr:colOff>342900</xdr:colOff>
          <xdr:row>47</xdr:row>
          <xdr:rowOff>266700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47</xdr:row>
          <xdr:rowOff>38100</xdr:rowOff>
        </xdr:from>
        <xdr:to>
          <xdr:col>9</xdr:col>
          <xdr:colOff>342900</xdr:colOff>
          <xdr:row>47</xdr:row>
          <xdr:rowOff>266700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0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47</xdr:row>
          <xdr:rowOff>38100</xdr:rowOff>
        </xdr:from>
        <xdr:to>
          <xdr:col>10</xdr:col>
          <xdr:colOff>342900</xdr:colOff>
          <xdr:row>47</xdr:row>
          <xdr:rowOff>266700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47</xdr:row>
          <xdr:rowOff>38100</xdr:rowOff>
        </xdr:from>
        <xdr:to>
          <xdr:col>11</xdr:col>
          <xdr:colOff>342900</xdr:colOff>
          <xdr:row>47</xdr:row>
          <xdr:rowOff>266700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47</xdr:row>
          <xdr:rowOff>38100</xdr:rowOff>
        </xdr:from>
        <xdr:to>
          <xdr:col>12</xdr:col>
          <xdr:colOff>342900</xdr:colOff>
          <xdr:row>47</xdr:row>
          <xdr:rowOff>266700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47</xdr:row>
          <xdr:rowOff>38100</xdr:rowOff>
        </xdr:from>
        <xdr:to>
          <xdr:col>13</xdr:col>
          <xdr:colOff>342900</xdr:colOff>
          <xdr:row>47</xdr:row>
          <xdr:rowOff>266700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47</xdr:row>
          <xdr:rowOff>38100</xdr:rowOff>
        </xdr:from>
        <xdr:to>
          <xdr:col>14</xdr:col>
          <xdr:colOff>342900</xdr:colOff>
          <xdr:row>47</xdr:row>
          <xdr:rowOff>266700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47</xdr:row>
          <xdr:rowOff>38100</xdr:rowOff>
        </xdr:from>
        <xdr:to>
          <xdr:col>15</xdr:col>
          <xdr:colOff>342900</xdr:colOff>
          <xdr:row>47</xdr:row>
          <xdr:rowOff>266700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47</xdr:row>
          <xdr:rowOff>38100</xdr:rowOff>
        </xdr:from>
        <xdr:to>
          <xdr:col>16</xdr:col>
          <xdr:colOff>342900</xdr:colOff>
          <xdr:row>47</xdr:row>
          <xdr:rowOff>266700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47</xdr:row>
          <xdr:rowOff>38100</xdr:rowOff>
        </xdr:from>
        <xdr:to>
          <xdr:col>17</xdr:col>
          <xdr:colOff>342900</xdr:colOff>
          <xdr:row>47</xdr:row>
          <xdr:rowOff>266700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47</xdr:row>
          <xdr:rowOff>38100</xdr:rowOff>
        </xdr:from>
        <xdr:to>
          <xdr:col>18</xdr:col>
          <xdr:colOff>342900</xdr:colOff>
          <xdr:row>47</xdr:row>
          <xdr:rowOff>266700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47</xdr:row>
          <xdr:rowOff>38100</xdr:rowOff>
        </xdr:from>
        <xdr:to>
          <xdr:col>19</xdr:col>
          <xdr:colOff>342900</xdr:colOff>
          <xdr:row>47</xdr:row>
          <xdr:rowOff>266700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47</xdr:row>
          <xdr:rowOff>38100</xdr:rowOff>
        </xdr:from>
        <xdr:to>
          <xdr:col>20</xdr:col>
          <xdr:colOff>342900</xdr:colOff>
          <xdr:row>47</xdr:row>
          <xdr:rowOff>266700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47</xdr:row>
          <xdr:rowOff>38100</xdr:rowOff>
        </xdr:from>
        <xdr:to>
          <xdr:col>21</xdr:col>
          <xdr:colOff>342900</xdr:colOff>
          <xdr:row>47</xdr:row>
          <xdr:rowOff>266700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47</xdr:row>
          <xdr:rowOff>38100</xdr:rowOff>
        </xdr:from>
        <xdr:to>
          <xdr:col>22</xdr:col>
          <xdr:colOff>342900</xdr:colOff>
          <xdr:row>47</xdr:row>
          <xdr:rowOff>266700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47</xdr:row>
          <xdr:rowOff>38100</xdr:rowOff>
        </xdr:from>
        <xdr:to>
          <xdr:col>23</xdr:col>
          <xdr:colOff>342900</xdr:colOff>
          <xdr:row>47</xdr:row>
          <xdr:rowOff>266700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47</xdr:row>
          <xdr:rowOff>38100</xdr:rowOff>
        </xdr:from>
        <xdr:to>
          <xdr:col>24</xdr:col>
          <xdr:colOff>342900</xdr:colOff>
          <xdr:row>47</xdr:row>
          <xdr:rowOff>266700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47</xdr:row>
          <xdr:rowOff>38100</xdr:rowOff>
        </xdr:from>
        <xdr:to>
          <xdr:col>25</xdr:col>
          <xdr:colOff>342900</xdr:colOff>
          <xdr:row>47</xdr:row>
          <xdr:rowOff>266700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47</xdr:row>
          <xdr:rowOff>38100</xdr:rowOff>
        </xdr:from>
        <xdr:to>
          <xdr:col>26</xdr:col>
          <xdr:colOff>342900</xdr:colOff>
          <xdr:row>47</xdr:row>
          <xdr:rowOff>266700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47</xdr:row>
          <xdr:rowOff>38100</xdr:rowOff>
        </xdr:from>
        <xdr:to>
          <xdr:col>27</xdr:col>
          <xdr:colOff>342900</xdr:colOff>
          <xdr:row>47</xdr:row>
          <xdr:rowOff>266700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47</xdr:row>
          <xdr:rowOff>38100</xdr:rowOff>
        </xdr:from>
        <xdr:to>
          <xdr:col>28</xdr:col>
          <xdr:colOff>342900</xdr:colOff>
          <xdr:row>47</xdr:row>
          <xdr:rowOff>266700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47</xdr:row>
          <xdr:rowOff>38100</xdr:rowOff>
        </xdr:from>
        <xdr:to>
          <xdr:col>29</xdr:col>
          <xdr:colOff>342900</xdr:colOff>
          <xdr:row>47</xdr:row>
          <xdr:rowOff>266700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47</xdr:row>
          <xdr:rowOff>38100</xdr:rowOff>
        </xdr:from>
        <xdr:to>
          <xdr:col>30</xdr:col>
          <xdr:colOff>342900</xdr:colOff>
          <xdr:row>47</xdr:row>
          <xdr:rowOff>266700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47</xdr:row>
          <xdr:rowOff>38100</xdr:rowOff>
        </xdr:from>
        <xdr:to>
          <xdr:col>31</xdr:col>
          <xdr:colOff>342900</xdr:colOff>
          <xdr:row>47</xdr:row>
          <xdr:rowOff>266700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47</xdr:row>
          <xdr:rowOff>38100</xdr:rowOff>
        </xdr:from>
        <xdr:to>
          <xdr:col>32</xdr:col>
          <xdr:colOff>342900</xdr:colOff>
          <xdr:row>47</xdr:row>
          <xdr:rowOff>266700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47</xdr:row>
          <xdr:rowOff>38100</xdr:rowOff>
        </xdr:from>
        <xdr:to>
          <xdr:col>33</xdr:col>
          <xdr:colOff>342900</xdr:colOff>
          <xdr:row>47</xdr:row>
          <xdr:rowOff>266700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47</xdr:row>
          <xdr:rowOff>38100</xdr:rowOff>
        </xdr:from>
        <xdr:to>
          <xdr:col>34</xdr:col>
          <xdr:colOff>342900</xdr:colOff>
          <xdr:row>47</xdr:row>
          <xdr:rowOff>266700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47</xdr:row>
          <xdr:rowOff>38100</xdr:rowOff>
        </xdr:from>
        <xdr:to>
          <xdr:col>35</xdr:col>
          <xdr:colOff>342900</xdr:colOff>
          <xdr:row>47</xdr:row>
          <xdr:rowOff>266700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47</xdr:row>
          <xdr:rowOff>38100</xdr:rowOff>
        </xdr:from>
        <xdr:to>
          <xdr:col>36</xdr:col>
          <xdr:colOff>342900</xdr:colOff>
          <xdr:row>47</xdr:row>
          <xdr:rowOff>266700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47</xdr:row>
          <xdr:rowOff>38100</xdr:rowOff>
        </xdr:from>
        <xdr:to>
          <xdr:col>37</xdr:col>
          <xdr:colOff>342900</xdr:colOff>
          <xdr:row>47</xdr:row>
          <xdr:rowOff>266700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0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48</xdr:row>
          <xdr:rowOff>38100</xdr:rowOff>
        </xdr:from>
        <xdr:to>
          <xdr:col>7</xdr:col>
          <xdr:colOff>342900</xdr:colOff>
          <xdr:row>48</xdr:row>
          <xdr:rowOff>266700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0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48</xdr:row>
          <xdr:rowOff>38100</xdr:rowOff>
        </xdr:from>
        <xdr:to>
          <xdr:col>8</xdr:col>
          <xdr:colOff>342900</xdr:colOff>
          <xdr:row>48</xdr:row>
          <xdr:rowOff>266700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48</xdr:row>
          <xdr:rowOff>38100</xdr:rowOff>
        </xdr:from>
        <xdr:to>
          <xdr:col>9</xdr:col>
          <xdr:colOff>342900</xdr:colOff>
          <xdr:row>48</xdr:row>
          <xdr:rowOff>266700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48</xdr:row>
          <xdr:rowOff>38100</xdr:rowOff>
        </xdr:from>
        <xdr:to>
          <xdr:col>10</xdr:col>
          <xdr:colOff>342900</xdr:colOff>
          <xdr:row>48</xdr:row>
          <xdr:rowOff>266700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48</xdr:row>
          <xdr:rowOff>38100</xdr:rowOff>
        </xdr:from>
        <xdr:to>
          <xdr:col>11</xdr:col>
          <xdr:colOff>342900</xdr:colOff>
          <xdr:row>48</xdr:row>
          <xdr:rowOff>266700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0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48</xdr:row>
          <xdr:rowOff>38100</xdr:rowOff>
        </xdr:from>
        <xdr:to>
          <xdr:col>12</xdr:col>
          <xdr:colOff>342900</xdr:colOff>
          <xdr:row>48</xdr:row>
          <xdr:rowOff>266700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0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48</xdr:row>
          <xdr:rowOff>38100</xdr:rowOff>
        </xdr:from>
        <xdr:to>
          <xdr:col>13</xdr:col>
          <xdr:colOff>342900</xdr:colOff>
          <xdr:row>48</xdr:row>
          <xdr:rowOff>266700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0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48</xdr:row>
          <xdr:rowOff>38100</xdr:rowOff>
        </xdr:from>
        <xdr:to>
          <xdr:col>14</xdr:col>
          <xdr:colOff>342900</xdr:colOff>
          <xdr:row>48</xdr:row>
          <xdr:rowOff>266700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0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48</xdr:row>
          <xdr:rowOff>38100</xdr:rowOff>
        </xdr:from>
        <xdr:to>
          <xdr:col>15</xdr:col>
          <xdr:colOff>342900</xdr:colOff>
          <xdr:row>48</xdr:row>
          <xdr:rowOff>266700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48</xdr:row>
          <xdr:rowOff>38100</xdr:rowOff>
        </xdr:from>
        <xdr:to>
          <xdr:col>16</xdr:col>
          <xdr:colOff>342900</xdr:colOff>
          <xdr:row>48</xdr:row>
          <xdr:rowOff>266700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0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48</xdr:row>
          <xdr:rowOff>38100</xdr:rowOff>
        </xdr:from>
        <xdr:to>
          <xdr:col>17</xdr:col>
          <xdr:colOff>342900</xdr:colOff>
          <xdr:row>48</xdr:row>
          <xdr:rowOff>266700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48</xdr:row>
          <xdr:rowOff>38100</xdr:rowOff>
        </xdr:from>
        <xdr:to>
          <xdr:col>18</xdr:col>
          <xdr:colOff>342900</xdr:colOff>
          <xdr:row>48</xdr:row>
          <xdr:rowOff>266700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48</xdr:row>
          <xdr:rowOff>38100</xdr:rowOff>
        </xdr:from>
        <xdr:to>
          <xdr:col>19</xdr:col>
          <xdr:colOff>342900</xdr:colOff>
          <xdr:row>48</xdr:row>
          <xdr:rowOff>266700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48</xdr:row>
          <xdr:rowOff>38100</xdr:rowOff>
        </xdr:from>
        <xdr:to>
          <xdr:col>20</xdr:col>
          <xdr:colOff>342900</xdr:colOff>
          <xdr:row>48</xdr:row>
          <xdr:rowOff>266700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0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48</xdr:row>
          <xdr:rowOff>38100</xdr:rowOff>
        </xdr:from>
        <xdr:to>
          <xdr:col>21</xdr:col>
          <xdr:colOff>342900</xdr:colOff>
          <xdr:row>48</xdr:row>
          <xdr:rowOff>266700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48</xdr:row>
          <xdr:rowOff>38100</xdr:rowOff>
        </xdr:from>
        <xdr:to>
          <xdr:col>22</xdr:col>
          <xdr:colOff>342900</xdr:colOff>
          <xdr:row>48</xdr:row>
          <xdr:rowOff>266700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48</xdr:row>
          <xdr:rowOff>38100</xdr:rowOff>
        </xdr:from>
        <xdr:to>
          <xdr:col>23</xdr:col>
          <xdr:colOff>342900</xdr:colOff>
          <xdr:row>48</xdr:row>
          <xdr:rowOff>266700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48</xdr:row>
          <xdr:rowOff>38100</xdr:rowOff>
        </xdr:from>
        <xdr:to>
          <xdr:col>24</xdr:col>
          <xdr:colOff>342900</xdr:colOff>
          <xdr:row>48</xdr:row>
          <xdr:rowOff>266700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48</xdr:row>
          <xdr:rowOff>38100</xdr:rowOff>
        </xdr:from>
        <xdr:to>
          <xdr:col>25</xdr:col>
          <xdr:colOff>342900</xdr:colOff>
          <xdr:row>48</xdr:row>
          <xdr:rowOff>266700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48</xdr:row>
          <xdr:rowOff>38100</xdr:rowOff>
        </xdr:from>
        <xdr:to>
          <xdr:col>26</xdr:col>
          <xdr:colOff>342900</xdr:colOff>
          <xdr:row>48</xdr:row>
          <xdr:rowOff>266700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48</xdr:row>
          <xdr:rowOff>38100</xdr:rowOff>
        </xdr:from>
        <xdr:to>
          <xdr:col>27</xdr:col>
          <xdr:colOff>342900</xdr:colOff>
          <xdr:row>48</xdr:row>
          <xdr:rowOff>266700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48</xdr:row>
          <xdr:rowOff>38100</xdr:rowOff>
        </xdr:from>
        <xdr:to>
          <xdr:col>28</xdr:col>
          <xdr:colOff>342900</xdr:colOff>
          <xdr:row>48</xdr:row>
          <xdr:rowOff>266700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0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48</xdr:row>
          <xdr:rowOff>38100</xdr:rowOff>
        </xdr:from>
        <xdr:to>
          <xdr:col>29</xdr:col>
          <xdr:colOff>342900</xdr:colOff>
          <xdr:row>48</xdr:row>
          <xdr:rowOff>266700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48</xdr:row>
          <xdr:rowOff>38100</xdr:rowOff>
        </xdr:from>
        <xdr:to>
          <xdr:col>30</xdr:col>
          <xdr:colOff>342900</xdr:colOff>
          <xdr:row>48</xdr:row>
          <xdr:rowOff>266700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48</xdr:row>
          <xdr:rowOff>38100</xdr:rowOff>
        </xdr:from>
        <xdr:to>
          <xdr:col>31</xdr:col>
          <xdr:colOff>342900</xdr:colOff>
          <xdr:row>48</xdr:row>
          <xdr:rowOff>266700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48</xdr:row>
          <xdr:rowOff>38100</xdr:rowOff>
        </xdr:from>
        <xdr:to>
          <xdr:col>32</xdr:col>
          <xdr:colOff>342900</xdr:colOff>
          <xdr:row>48</xdr:row>
          <xdr:rowOff>266700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48</xdr:row>
          <xdr:rowOff>38100</xdr:rowOff>
        </xdr:from>
        <xdr:to>
          <xdr:col>33</xdr:col>
          <xdr:colOff>342900</xdr:colOff>
          <xdr:row>48</xdr:row>
          <xdr:rowOff>266700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48</xdr:row>
          <xdr:rowOff>38100</xdr:rowOff>
        </xdr:from>
        <xdr:to>
          <xdr:col>34</xdr:col>
          <xdr:colOff>342900</xdr:colOff>
          <xdr:row>48</xdr:row>
          <xdr:rowOff>266700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0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48</xdr:row>
          <xdr:rowOff>38100</xdr:rowOff>
        </xdr:from>
        <xdr:to>
          <xdr:col>35</xdr:col>
          <xdr:colOff>342900</xdr:colOff>
          <xdr:row>48</xdr:row>
          <xdr:rowOff>266700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0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48</xdr:row>
          <xdr:rowOff>38100</xdr:rowOff>
        </xdr:from>
        <xdr:to>
          <xdr:col>36</xdr:col>
          <xdr:colOff>342900</xdr:colOff>
          <xdr:row>48</xdr:row>
          <xdr:rowOff>266700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0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48</xdr:row>
          <xdr:rowOff>38100</xdr:rowOff>
        </xdr:from>
        <xdr:to>
          <xdr:col>37</xdr:col>
          <xdr:colOff>342900</xdr:colOff>
          <xdr:row>48</xdr:row>
          <xdr:rowOff>266700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0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49</xdr:row>
          <xdr:rowOff>38100</xdr:rowOff>
        </xdr:from>
        <xdr:to>
          <xdr:col>7</xdr:col>
          <xdr:colOff>342900</xdr:colOff>
          <xdr:row>49</xdr:row>
          <xdr:rowOff>266700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0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49</xdr:row>
          <xdr:rowOff>38100</xdr:rowOff>
        </xdr:from>
        <xdr:to>
          <xdr:col>8</xdr:col>
          <xdr:colOff>342900</xdr:colOff>
          <xdr:row>49</xdr:row>
          <xdr:rowOff>266700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49</xdr:row>
          <xdr:rowOff>38100</xdr:rowOff>
        </xdr:from>
        <xdr:to>
          <xdr:col>9</xdr:col>
          <xdr:colOff>342900</xdr:colOff>
          <xdr:row>49</xdr:row>
          <xdr:rowOff>266700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49</xdr:row>
          <xdr:rowOff>38100</xdr:rowOff>
        </xdr:from>
        <xdr:to>
          <xdr:col>10</xdr:col>
          <xdr:colOff>342900</xdr:colOff>
          <xdr:row>49</xdr:row>
          <xdr:rowOff>266700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0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49</xdr:row>
          <xdr:rowOff>38100</xdr:rowOff>
        </xdr:from>
        <xdr:to>
          <xdr:col>11</xdr:col>
          <xdr:colOff>342900</xdr:colOff>
          <xdr:row>49</xdr:row>
          <xdr:rowOff>266700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0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49</xdr:row>
          <xdr:rowOff>38100</xdr:rowOff>
        </xdr:from>
        <xdr:to>
          <xdr:col>12</xdr:col>
          <xdr:colOff>342900</xdr:colOff>
          <xdr:row>49</xdr:row>
          <xdr:rowOff>266700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49</xdr:row>
          <xdr:rowOff>38100</xdr:rowOff>
        </xdr:from>
        <xdr:to>
          <xdr:col>13</xdr:col>
          <xdr:colOff>342900</xdr:colOff>
          <xdr:row>49</xdr:row>
          <xdr:rowOff>266700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49</xdr:row>
          <xdr:rowOff>38100</xdr:rowOff>
        </xdr:from>
        <xdr:to>
          <xdr:col>14</xdr:col>
          <xdr:colOff>342900</xdr:colOff>
          <xdr:row>49</xdr:row>
          <xdr:rowOff>266700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49</xdr:row>
          <xdr:rowOff>38100</xdr:rowOff>
        </xdr:from>
        <xdr:to>
          <xdr:col>15</xdr:col>
          <xdr:colOff>342900</xdr:colOff>
          <xdr:row>49</xdr:row>
          <xdr:rowOff>266700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49</xdr:row>
          <xdr:rowOff>38100</xdr:rowOff>
        </xdr:from>
        <xdr:to>
          <xdr:col>16</xdr:col>
          <xdr:colOff>342900</xdr:colOff>
          <xdr:row>49</xdr:row>
          <xdr:rowOff>266700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0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49</xdr:row>
          <xdr:rowOff>38100</xdr:rowOff>
        </xdr:from>
        <xdr:to>
          <xdr:col>17</xdr:col>
          <xdr:colOff>342900</xdr:colOff>
          <xdr:row>49</xdr:row>
          <xdr:rowOff>266700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0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49</xdr:row>
          <xdr:rowOff>38100</xdr:rowOff>
        </xdr:from>
        <xdr:to>
          <xdr:col>18</xdr:col>
          <xdr:colOff>342900</xdr:colOff>
          <xdr:row>49</xdr:row>
          <xdr:rowOff>266700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0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49</xdr:row>
          <xdr:rowOff>38100</xdr:rowOff>
        </xdr:from>
        <xdr:to>
          <xdr:col>19</xdr:col>
          <xdr:colOff>342900</xdr:colOff>
          <xdr:row>49</xdr:row>
          <xdr:rowOff>266700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0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49</xdr:row>
          <xdr:rowOff>38100</xdr:rowOff>
        </xdr:from>
        <xdr:to>
          <xdr:col>20</xdr:col>
          <xdr:colOff>342900</xdr:colOff>
          <xdr:row>49</xdr:row>
          <xdr:rowOff>266700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49</xdr:row>
          <xdr:rowOff>38100</xdr:rowOff>
        </xdr:from>
        <xdr:to>
          <xdr:col>21</xdr:col>
          <xdr:colOff>342900</xdr:colOff>
          <xdr:row>49</xdr:row>
          <xdr:rowOff>266700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0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49</xdr:row>
          <xdr:rowOff>38100</xdr:rowOff>
        </xdr:from>
        <xdr:to>
          <xdr:col>22</xdr:col>
          <xdr:colOff>342900</xdr:colOff>
          <xdr:row>49</xdr:row>
          <xdr:rowOff>266700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49</xdr:row>
          <xdr:rowOff>38100</xdr:rowOff>
        </xdr:from>
        <xdr:to>
          <xdr:col>23</xdr:col>
          <xdr:colOff>342900</xdr:colOff>
          <xdr:row>49</xdr:row>
          <xdr:rowOff>266700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49</xdr:row>
          <xdr:rowOff>38100</xdr:rowOff>
        </xdr:from>
        <xdr:to>
          <xdr:col>24</xdr:col>
          <xdr:colOff>342900</xdr:colOff>
          <xdr:row>49</xdr:row>
          <xdr:rowOff>266700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0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49</xdr:row>
          <xdr:rowOff>38100</xdr:rowOff>
        </xdr:from>
        <xdr:to>
          <xdr:col>25</xdr:col>
          <xdr:colOff>342900</xdr:colOff>
          <xdr:row>49</xdr:row>
          <xdr:rowOff>266700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0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49</xdr:row>
          <xdr:rowOff>38100</xdr:rowOff>
        </xdr:from>
        <xdr:to>
          <xdr:col>26</xdr:col>
          <xdr:colOff>342900</xdr:colOff>
          <xdr:row>49</xdr:row>
          <xdr:rowOff>266700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49</xdr:row>
          <xdr:rowOff>38100</xdr:rowOff>
        </xdr:from>
        <xdr:to>
          <xdr:col>27</xdr:col>
          <xdr:colOff>342900</xdr:colOff>
          <xdr:row>49</xdr:row>
          <xdr:rowOff>266700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49</xdr:row>
          <xdr:rowOff>38100</xdr:rowOff>
        </xdr:from>
        <xdr:to>
          <xdr:col>28</xdr:col>
          <xdr:colOff>342900</xdr:colOff>
          <xdr:row>49</xdr:row>
          <xdr:rowOff>266700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49</xdr:row>
          <xdr:rowOff>38100</xdr:rowOff>
        </xdr:from>
        <xdr:to>
          <xdr:col>29</xdr:col>
          <xdr:colOff>342900</xdr:colOff>
          <xdr:row>49</xdr:row>
          <xdr:rowOff>266700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49</xdr:row>
          <xdr:rowOff>38100</xdr:rowOff>
        </xdr:from>
        <xdr:to>
          <xdr:col>30</xdr:col>
          <xdr:colOff>342900</xdr:colOff>
          <xdr:row>49</xdr:row>
          <xdr:rowOff>266700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49</xdr:row>
          <xdr:rowOff>38100</xdr:rowOff>
        </xdr:from>
        <xdr:to>
          <xdr:col>31</xdr:col>
          <xdr:colOff>342900</xdr:colOff>
          <xdr:row>49</xdr:row>
          <xdr:rowOff>266700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0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49</xdr:row>
          <xdr:rowOff>38100</xdr:rowOff>
        </xdr:from>
        <xdr:to>
          <xdr:col>32</xdr:col>
          <xdr:colOff>342900</xdr:colOff>
          <xdr:row>49</xdr:row>
          <xdr:rowOff>266700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49</xdr:row>
          <xdr:rowOff>38100</xdr:rowOff>
        </xdr:from>
        <xdr:to>
          <xdr:col>33</xdr:col>
          <xdr:colOff>342900</xdr:colOff>
          <xdr:row>49</xdr:row>
          <xdr:rowOff>266700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49</xdr:row>
          <xdr:rowOff>38100</xdr:rowOff>
        </xdr:from>
        <xdr:to>
          <xdr:col>34</xdr:col>
          <xdr:colOff>342900</xdr:colOff>
          <xdr:row>49</xdr:row>
          <xdr:rowOff>266700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0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49</xdr:row>
          <xdr:rowOff>38100</xdr:rowOff>
        </xdr:from>
        <xdr:to>
          <xdr:col>35</xdr:col>
          <xdr:colOff>342900</xdr:colOff>
          <xdr:row>49</xdr:row>
          <xdr:rowOff>266700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0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49</xdr:row>
          <xdr:rowOff>38100</xdr:rowOff>
        </xdr:from>
        <xdr:to>
          <xdr:col>36</xdr:col>
          <xdr:colOff>342900</xdr:colOff>
          <xdr:row>49</xdr:row>
          <xdr:rowOff>266700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0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49</xdr:row>
          <xdr:rowOff>38100</xdr:rowOff>
        </xdr:from>
        <xdr:to>
          <xdr:col>37</xdr:col>
          <xdr:colOff>342900</xdr:colOff>
          <xdr:row>49</xdr:row>
          <xdr:rowOff>266700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0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50</xdr:row>
          <xdr:rowOff>38100</xdr:rowOff>
        </xdr:from>
        <xdr:to>
          <xdr:col>7</xdr:col>
          <xdr:colOff>342900</xdr:colOff>
          <xdr:row>50</xdr:row>
          <xdr:rowOff>266700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0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50</xdr:row>
          <xdr:rowOff>38100</xdr:rowOff>
        </xdr:from>
        <xdr:to>
          <xdr:col>8</xdr:col>
          <xdr:colOff>342900</xdr:colOff>
          <xdr:row>50</xdr:row>
          <xdr:rowOff>266700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0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50</xdr:row>
          <xdr:rowOff>38100</xdr:rowOff>
        </xdr:from>
        <xdr:to>
          <xdr:col>9</xdr:col>
          <xdr:colOff>342900</xdr:colOff>
          <xdr:row>50</xdr:row>
          <xdr:rowOff>266700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50</xdr:row>
          <xdr:rowOff>38100</xdr:rowOff>
        </xdr:from>
        <xdr:to>
          <xdr:col>10</xdr:col>
          <xdr:colOff>342900</xdr:colOff>
          <xdr:row>50</xdr:row>
          <xdr:rowOff>266700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50</xdr:row>
          <xdr:rowOff>38100</xdr:rowOff>
        </xdr:from>
        <xdr:to>
          <xdr:col>11</xdr:col>
          <xdr:colOff>342900</xdr:colOff>
          <xdr:row>50</xdr:row>
          <xdr:rowOff>266700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50</xdr:row>
          <xdr:rowOff>38100</xdr:rowOff>
        </xdr:from>
        <xdr:to>
          <xdr:col>12</xdr:col>
          <xdr:colOff>342900</xdr:colOff>
          <xdr:row>50</xdr:row>
          <xdr:rowOff>266700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50</xdr:row>
          <xdr:rowOff>38100</xdr:rowOff>
        </xdr:from>
        <xdr:to>
          <xdr:col>13</xdr:col>
          <xdr:colOff>342900</xdr:colOff>
          <xdr:row>50</xdr:row>
          <xdr:rowOff>266700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50</xdr:row>
          <xdr:rowOff>38100</xdr:rowOff>
        </xdr:from>
        <xdr:to>
          <xdr:col>14</xdr:col>
          <xdr:colOff>342900</xdr:colOff>
          <xdr:row>50</xdr:row>
          <xdr:rowOff>266700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0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50</xdr:row>
          <xdr:rowOff>38100</xdr:rowOff>
        </xdr:from>
        <xdr:to>
          <xdr:col>15</xdr:col>
          <xdr:colOff>342900</xdr:colOff>
          <xdr:row>50</xdr:row>
          <xdr:rowOff>266700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0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50</xdr:row>
          <xdr:rowOff>38100</xdr:rowOff>
        </xdr:from>
        <xdr:to>
          <xdr:col>16</xdr:col>
          <xdr:colOff>342900</xdr:colOff>
          <xdr:row>50</xdr:row>
          <xdr:rowOff>266700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50</xdr:row>
          <xdr:rowOff>38100</xdr:rowOff>
        </xdr:from>
        <xdr:to>
          <xdr:col>17</xdr:col>
          <xdr:colOff>342900</xdr:colOff>
          <xdr:row>50</xdr:row>
          <xdr:rowOff>266700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50</xdr:row>
          <xdr:rowOff>38100</xdr:rowOff>
        </xdr:from>
        <xdr:to>
          <xdr:col>18</xdr:col>
          <xdr:colOff>342900</xdr:colOff>
          <xdr:row>50</xdr:row>
          <xdr:rowOff>266700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50</xdr:row>
          <xdr:rowOff>38100</xdr:rowOff>
        </xdr:from>
        <xdr:to>
          <xdr:col>19</xdr:col>
          <xdr:colOff>342900</xdr:colOff>
          <xdr:row>50</xdr:row>
          <xdr:rowOff>266700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50</xdr:row>
          <xdr:rowOff>38100</xdr:rowOff>
        </xdr:from>
        <xdr:to>
          <xdr:col>20</xdr:col>
          <xdr:colOff>342900</xdr:colOff>
          <xdr:row>50</xdr:row>
          <xdr:rowOff>266700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50</xdr:row>
          <xdr:rowOff>38100</xdr:rowOff>
        </xdr:from>
        <xdr:to>
          <xdr:col>21</xdr:col>
          <xdr:colOff>342900</xdr:colOff>
          <xdr:row>50</xdr:row>
          <xdr:rowOff>266700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0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50</xdr:row>
          <xdr:rowOff>38100</xdr:rowOff>
        </xdr:from>
        <xdr:to>
          <xdr:col>22</xdr:col>
          <xdr:colOff>342900</xdr:colOff>
          <xdr:row>50</xdr:row>
          <xdr:rowOff>266700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0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50</xdr:row>
          <xdr:rowOff>38100</xdr:rowOff>
        </xdr:from>
        <xdr:to>
          <xdr:col>23</xdr:col>
          <xdr:colOff>342900</xdr:colOff>
          <xdr:row>50</xdr:row>
          <xdr:rowOff>266700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50</xdr:row>
          <xdr:rowOff>38100</xdr:rowOff>
        </xdr:from>
        <xdr:to>
          <xdr:col>24</xdr:col>
          <xdr:colOff>342900</xdr:colOff>
          <xdr:row>50</xdr:row>
          <xdr:rowOff>266700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50</xdr:row>
          <xdr:rowOff>38100</xdr:rowOff>
        </xdr:from>
        <xdr:to>
          <xdr:col>25</xdr:col>
          <xdr:colOff>342900</xdr:colOff>
          <xdr:row>50</xdr:row>
          <xdr:rowOff>266700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50</xdr:row>
          <xdr:rowOff>38100</xdr:rowOff>
        </xdr:from>
        <xdr:to>
          <xdr:col>26</xdr:col>
          <xdr:colOff>342900</xdr:colOff>
          <xdr:row>50</xdr:row>
          <xdr:rowOff>266700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0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50</xdr:row>
          <xdr:rowOff>38100</xdr:rowOff>
        </xdr:from>
        <xdr:to>
          <xdr:col>27</xdr:col>
          <xdr:colOff>342900</xdr:colOff>
          <xdr:row>50</xdr:row>
          <xdr:rowOff>266700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0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50</xdr:row>
          <xdr:rowOff>38100</xdr:rowOff>
        </xdr:from>
        <xdr:to>
          <xdr:col>28</xdr:col>
          <xdr:colOff>342900</xdr:colOff>
          <xdr:row>50</xdr:row>
          <xdr:rowOff>266700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0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50</xdr:row>
          <xdr:rowOff>38100</xdr:rowOff>
        </xdr:from>
        <xdr:to>
          <xdr:col>29</xdr:col>
          <xdr:colOff>342900</xdr:colOff>
          <xdr:row>50</xdr:row>
          <xdr:rowOff>266700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0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50</xdr:row>
          <xdr:rowOff>38100</xdr:rowOff>
        </xdr:from>
        <xdr:to>
          <xdr:col>30</xdr:col>
          <xdr:colOff>342900</xdr:colOff>
          <xdr:row>50</xdr:row>
          <xdr:rowOff>266700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0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50</xdr:row>
          <xdr:rowOff>38100</xdr:rowOff>
        </xdr:from>
        <xdr:to>
          <xdr:col>31</xdr:col>
          <xdr:colOff>342900</xdr:colOff>
          <xdr:row>50</xdr:row>
          <xdr:rowOff>266700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50</xdr:row>
          <xdr:rowOff>38100</xdr:rowOff>
        </xdr:from>
        <xdr:to>
          <xdr:col>32</xdr:col>
          <xdr:colOff>342900</xdr:colOff>
          <xdr:row>50</xdr:row>
          <xdr:rowOff>266700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50</xdr:row>
          <xdr:rowOff>38100</xdr:rowOff>
        </xdr:from>
        <xdr:to>
          <xdr:col>33</xdr:col>
          <xdr:colOff>342900</xdr:colOff>
          <xdr:row>50</xdr:row>
          <xdr:rowOff>266700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50</xdr:row>
          <xdr:rowOff>38100</xdr:rowOff>
        </xdr:from>
        <xdr:to>
          <xdr:col>34</xdr:col>
          <xdr:colOff>342900</xdr:colOff>
          <xdr:row>50</xdr:row>
          <xdr:rowOff>266700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50</xdr:row>
          <xdr:rowOff>38100</xdr:rowOff>
        </xdr:from>
        <xdr:to>
          <xdr:col>35</xdr:col>
          <xdr:colOff>342900</xdr:colOff>
          <xdr:row>50</xdr:row>
          <xdr:rowOff>266700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0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50</xdr:row>
          <xdr:rowOff>38100</xdr:rowOff>
        </xdr:from>
        <xdr:to>
          <xdr:col>36</xdr:col>
          <xdr:colOff>342900</xdr:colOff>
          <xdr:row>50</xdr:row>
          <xdr:rowOff>266700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0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50</xdr:row>
          <xdr:rowOff>38100</xdr:rowOff>
        </xdr:from>
        <xdr:to>
          <xdr:col>37</xdr:col>
          <xdr:colOff>342900</xdr:colOff>
          <xdr:row>50</xdr:row>
          <xdr:rowOff>266700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51</xdr:row>
          <xdr:rowOff>38100</xdr:rowOff>
        </xdr:from>
        <xdr:to>
          <xdr:col>7</xdr:col>
          <xdr:colOff>342900</xdr:colOff>
          <xdr:row>51</xdr:row>
          <xdr:rowOff>266700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51</xdr:row>
          <xdr:rowOff>38100</xdr:rowOff>
        </xdr:from>
        <xdr:to>
          <xdr:col>8</xdr:col>
          <xdr:colOff>342900</xdr:colOff>
          <xdr:row>51</xdr:row>
          <xdr:rowOff>266700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51</xdr:row>
          <xdr:rowOff>38100</xdr:rowOff>
        </xdr:from>
        <xdr:to>
          <xdr:col>9</xdr:col>
          <xdr:colOff>342900</xdr:colOff>
          <xdr:row>51</xdr:row>
          <xdr:rowOff>266700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51</xdr:row>
          <xdr:rowOff>38100</xdr:rowOff>
        </xdr:from>
        <xdr:to>
          <xdr:col>10</xdr:col>
          <xdr:colOff>342900</xdr:colOff>
          <xdr:row>51</xdr:row>
          <xdr:rowOff>266700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51</xdr:row>
          <xdr:rowOff>38100</xdr:rowOff>
        </xdr:from>
        <xdr:to>
          <xdr:col>11</xdr:col>
          <xdr:colOff>342900</xdr:colOff>
          <xdr:row>51</xdr:row>
          <xdr:rowOff>266700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0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51</xdr:row>
          <xdr:rowOff>38100</xdr:rowOff>
        </xdr:from>
        <xdr:to>
          <xdr:col>12</xdr:col>
          <xdr:colOff>342900</xdr:colOff>
          <xdr:row>51</xdr:row>
          <xdr:rowOff>266700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51</xdr:row>
          <xdr:rowOff>38100</xdr:rowOff>
        </xdr:from>
        <xdr:to>
          <xdr:col>13</xdr:col>
          <xdr:colOff>342900</xdr:colOff>
          <xdr:row>51</xdr:row>
          <xdr:rowOff>266700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51</xdr:row>
          <xdr:rowOff>38100</xdr:rowOff>
        </xdr:from>
        <xdr:to>
          <xdr:col>14</xdr:col>
          <xdr:colOff>342900</xdr:colOff>
          <xdr:row>51</xdr:row>
          <xdr:rowOff>266700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51</xdr:row>
          <xdr:rowOff>38100</xdr:rowOff>
        </xdr:from>
        <xdr:to>
          <xdr:col>15</xdr:col>
          <xdr:colOff>342900</xdr:colOff>
          <xdr:row>51</xdr:row>
          <xdr:rowOff>266700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51</xdr:row>
          <xdr:rowOff>38100</xdr:rowOff>
        </xdr:from>
        <xdr:to>
          <xdr:col>16</xdr:col>
          <xdr:colOff>342900</xdr:colOff>
          <xdr:row>51</xdr:row>
          <xdr:rowOff>266700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0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51</xdr:row>
          <xdr:rowOff>38100</xdr:rowOff>
        </xdr:from>
        <xdr:to>
          <xdr:col>17</xdr:col>
          <xdr:colOff>342900</xdr:colOff>
          <xdr:row>51</xdr:row>
          <xdr:rowOff>266700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0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51</xdr:row>
          <xdr:rowOff>38100</xdr:rowOff>
        </xdr:from>
        <xdr:to>
          <xdr:col>18</xdr:col>
          <xdr:colOff>342900</xdr:colOff>
          <xdr:row>51</xdr:row>
          <xdr:rowOff>266700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0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51</xdr:row>
          <xdr:rowOff>38100</xdr:rowOff>
        </xdr:from>
        <xdr:to>
          <xdr:col>19</xdr:col>
          <xdr:colOff>342900</xdr:colOff>
          <xdr:row>51</xdr:row>
          <xdr:rowOff>266700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00000000-0008-0000-00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51</xdr:row>
          <xdr:rowOff>38100</xdr:rowOff>
        </xdr:from>
        <xdr:to>
          <xdr:col>20</xdr:col>
          <xdr:colOff>342900</xdr:colOff>
          <xdr:row>51</xdr:row>
          <xdr:rowOff>266700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0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51</xdr:row>
          <xdr:rowOff>38100</xdr:rowOff>
        </xdr:from>
        <xdr:to>
          <xdr:col>21</xdr:col>
          <xdr:colOff>342900</xdr:colOff>
          <xdr:row>51</xdr:row>
          <xdr:rowOff>266700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0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51</xdr:row>
          <xdr:rowOff>38100</xdr:rowOff>
        </xdr:from>
        <xdr:to>
          <xdr:col>22</xdr:col>
          <xdr:colOff>342900</xdr:colOff>
          <xdr:row>51</xdr:row>
          <xdr:rowOff>266700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51</xdr:row>
          <xdr:rowOff>38100</xdr:rowOff>
        </xdr:from>
        <xdr:to>
          <xdr:col>23</xdr:col>
          <xdr:colOff>342900</xdr:colOff>
          <xdr:row>51</xdr:row>
          <xdr:rowOff>266700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51</xdr:row>
          <xdr:rowOff>38100</xdr:rowOff>
        </xdr:from>
        <xdr:to>
          <xdr:col>24</xdr:col>
          <xdr:colOff>342900</xdr:colOff>
          <xdr:row>51</xdr:row>
          <xdr:rowOff>266700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51</xdr:row>
          <xdr:rowOff>38100</xdr:rowOff>
        </xdr:from>
        <xdr:to>
          <xdr:col>25</xdr:col>
          <xdr:colOff>342900</xdr:colOff>
          <xdr:row>51</xdr:row>
          <xdr:rowOff>266700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0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51</xdr:row>
          <xdr:rowOff>38100</xdr:rowOff>
        </xdr:from>
        <xdr:to>
          <xdr:col>26</xdr:col>
          <xdr:colOff>342900</xdr:colOff>
          <xdr:row>51</xdr:row>
          <xdr:rowOff>266700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0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51</xdr:row>
          <xdr:rowOff>38100</xdr:rowOff>
        </xdr:from>
        <xdr:to>
          <xdr:col>27</xdr:col>
          <xdr:colOff>342900</xdr:colOff>
          <xdr:row>51</xdr:row>
          <xdr:rowOff>266700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51</xdr:row>
          <xdr:rowOff>38100</xdr:rowOff>
        </xdr:from>
        <xdr:to>
          <xdr:col>28</xdr:col>
          <xdr:colOff>342900</xdr:colOff>
          <xdr:row>51</xdr:row>
          <xdr:rowOff>266700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51</xdr:row>
          <xdr:rowOff>38100</xdr:rowOff>
        </xdr:from>
        <xdr:to>
          <xdr:col>29</xdr:col>
          <xdr:colOff>342900</xdr:colOff>
          <xdr:row>51</xdr:row>
          <xdr:rowOff>266700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51</xdr:row>
          <xdr:rowOff>38100</xdr:rowOff>
        </xdr:from>
        <xdr:to>
          <xdr:col>30</xdr:col>
          <xdr:colOff>342900</xdr:colOff>
          <xdr:row>51</xdr:row>
          <xdr:rowOff>266700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51</xdr:row>
          <xdr:rowOff>38100</xdr:rowOff>
        </xdr:from>
        <xdr:to>
          <xdr:col>31</xdr:col>
          <xdr:colOff>342900</xdr:colOff>
          <xdr:row>51</xdr:row>
          <xdr:rowOff>266700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51</xdr:row>
          <xdr:rowOff>38100</xdr:rowOff>
        </xdr:from>
        <xdr:to>
          <xdr:col>32</xdr:col>
          <xdr:colOff>342900</xdr:colOff>
          <xdr:row>51</xdr:row>
          <xdr:rowOff>266700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0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51</xdr:row>
          <xdr:rowOff>38100</xdr:rowOff>
        </xdr:from>
        <xdr:to>
          <xdr:col>33</xdr:col>
          <xdr:colOff>342900</xdr:colOff>
          <xdr:row>51</xdr:row>
          <xdr:rowOff>266700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0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51</xdr:row>
          <xdr:rowOff>38100</xdr:rowOff>
        </xdr:from>
        <xdr:to>
          <xdr:col>34</xdr:col>
          <xdr:colOff>342900</xdr:colOff>
          <xdr:row>51</xdr:row>
          <xdr:rowOff>266700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51</xdr:row>
          <xdr:rowOff>38100</xdr:rowOff>
        </xdr:from>
        <xdr:to>
          <xdr:col>35</xdr:col>
          <xdr:colOff>342900</xdr:colOff>
          <xdr:row>51</xdr:row>
          <xdr:rowOff>266700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51</xdr:row>
          <xdr:rowOff>38100</xdr:rowOff>
        </xdr:from>
        <xdr:to>
          <xdr:col>36</xdr:col>
          <xdr:colOff>342900</xdr:colOff>
          <xdr:row>51</xdr:row>
          <xdr:rowOff>266700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51</xdr:row>
          <xdr:rowOff>38100</xdr:rowOff>
        </xdr:from>
        <xdr:to>
          <xdr:col>37</xdr:col>
          <xdr:colOff>342900</xdr:colOff>
          <xdr:row>51</xdr:row>
          <xdr:rowOff>266700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52</xdr:row>
          <xdr:rowOff>38100</xdr:rowOff>
        </xdr:from>
        <xdr:to>
          <xdr:col>7</xdr:col>
          <xdr:colOff>342900</xdr:colOff>
          <xdr:row>52</xdr:row>
          <xdr:rowOff>266700</xdr:rowOff>
        </xdr:to>
        <xdr:sp macro="" textlink="">
          <xdr:nvSpPr>
            <xdr:cNvPr id="5120" name="Check Box 1024" hidden="1">
              <a:extLst>
                <a:ext uri="{63B3BB69-23CF-44E3-9099-C40C66FF867C}">
                  <a14:compatExt spid="_x0000_s5120"/>
                </a:ext>
                <a:ext uri="{FF2B5EF4-FFF2-40B4-BE49-F238E27FC236}">
                  <a16:creationId xmlns:a16="http://schemas.microsoft.com/office/drawing/2014/main" id="{00000000-0008-0000-0000-00000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52</xdr:row>
          <xdr:rowOff>38100</xdr:rowOff>
        </xdr:from>
        <xdr:to>
          <xdr:col>8</xdr:col>
          <xdr:colOff>342900</xdr:colOff>
          <xdr:row>52</xdr:row>
          <xdr:rowOff>266700</xdr:rowOff>
        </xdr:to>
        <xdr:sp macro="" textlink="">
          <xdr:nvSpPr>
            <xdr:cNvPr id="5121" name="Check Box 1025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52</xdr:row>
          <xdr:rowOff>38100</xdr:rowOff>
        </xdr:from>
        <xdr:to>
          <xdr:col>9</xdr:col>
          <xdr:colOff>342900</xdr:colOff>
          <xdr:row>52</xdr:row>
          <xdr:rowOff>266700</xdr:rowOff>
        </xdr:to>
        <xdr:sp macro="" textlink="">
          <xdr:nvSpPr>
            <xdr:cNvPr id="5122" name="Check Box 1026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52</xdr:row>
          <xdr:rowOff>38100</xdr:rowOff>
        </xdr:from>
        <xdr:to>
          <xdr:col>10</xdr:col>
          <xdr:colOff>342900</xdr:colOff>
          <xdr:row>52</xdr:row>
          <xdr:rowOff>266700</xdr:rowOff>
        </xdr:to>
        <xdr:sp macro="" textlink="">
          <xdr:nvSpPr>
            <xdr:cNvPr id="5123" name="Check Box 1027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52</xdr:row>
          <xdr:rowOff>38100</xdr:rowOff>
        </xdr:from>
        <xdr:to>
          <xdr:col>11</xdr:col>
          <xdr:colOff>342900</xdr:colOff>
          <xdr:row>52</xdr:row>
          <xdr:rowOff>266700</xdr:rowOff>
        </xdr:to>
        <xdr:sp macro="" textlink="">
          <xdr:nvSpPr>
            <xdr:cNvPr id="5124" name="Check Box 1028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52</xdr:row>
          <xdr:rowOff>38100</xdr:rowOff>
        </xdr:from>
        <xdr:to>
          <xdr:col>12</xdr:col>
          <xdr:colOff>342900</xdr:colOff>
          <xdr:row>52</xdr:row>
          <xdr:rowOff>266700</xdr:rowOff>
        </xdr:to>
        <xdr:sp macro="" textlink="">
          <xdr:nvSpPr>
            <xdr:cNvPr id="5125" name="Check Box 1029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0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52</xdr:row>
          <xdr:rowOff>38100</xdr:rowOff>
        </xdr:from>
        <xdr:to>
          <xdr:col>13</xdr:col>
          <xdr:colOff>342900</xdr:colOff>
          <xdr:row>52</xdr:row>
          <xdr:rowOff>266700</xdr:rowOff>
        </xdr:to>
        <xdr:sp macro="" textlink="">
          <xdr:nvSpPr>
            <xdr:cNvPr id="5126" name="Check Box 1030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0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52</xdr:row>
          <xdr:rowOff>38100</xdr:rowOff>
        </xdr:from>
        <xdr:to>
          <xdr:col>14</xdr:col>
          <xdr:colOff>342900</xdr:colOff>
          <xdr:row>52</xdr:row>
          <xdr:rowOff>266700</xdr:rowOff>
        </xdr:to>
        <xdr:sp macro="" textlink="">
          <xdr:nvSpPr>
            <xdr:cNvPr id="5127" name="Check Box 1031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0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52</xdr:row>
          <xdr:rowOff>38100</xdr:rowOff>
        </xdr:from>
        <xdr:to>
          <xdr:col>15</xdr:col>
          <xdr:colOff>342900</xdr:colOff>
          <xdr:row>52</xdr:row>
          <xdr:rowOff>266700</xdr:rowOff>
        </xdr:to>
        <xdr:sp macro="" textlink="">
          <xdr:nvSpPr>
            <xdr:cNvPr id="5128" name="Check Box 1032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0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52</xdr:row>
          <xdr:rowOff>38100</xdr:rowOff>
        </xdr:from>
        <xdr:to>
          <xdr:col>16</xdr:col>
          <xdr:colOff>342900</xdr:colOff>
          <xdr:row>52</xdr:row>
          <xdr:rowOff>266700</xdr:rowOff>
        </xdr:to>
        <xdr:sp macro="" textlink="">
          <xdr:nvSpPr>
            <xdr:cNvPr id="5129" name="Check Box 1033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52</xdr:row>
          <xdr:rowOff>38100</xdr:rowOff>
        </xdr:from>
        <xdr:to>
          <xdr:col>17</xdr:col>
          <xdr:colOff>342900</xdr:colOff>
          <xdr:row>52</xdr:row>
          <xdr:rowOff>266700</xdr:rowOff>
        </xdr:to>
        <xdr:sp macro="" textlink="">
          <xdr:nvSpPr>
            <xdr:cNvPr id="5130" name="Check Box 1034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52</xdr:row>
          <xdr:rowOff>38100</xdr:rowOff>
        </xdr:from>
        <xdr:to>
          <xdr:col>18</xdr:col>
          <xdr:colOff>342900</xdr:colOff>
          <xdr:row>52</xdr:row>
          <xdr:rowOff>266700</xdr:rowOff>
        </xdr:to>
        <xdr:sp macro="" textlink="">
          <xdr:nvSpPr>
            <xdr:cNvPr id="5131" name="Check Box 1035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52</xdr:row>
          <xdr:rowOff>38100</xdr:rowOff>
        </xdr:from>
        <xdr:to>
          <xdr:col>19</xdr:col>
          <xdr:colOff>342900</xdr:colOff>
          <xdr:row>52</xdr:row>
          <xdr:rowOff>266700</xdr:rowOff>
        </xdr:to>
        <xdr:sp macro="" textlink="">
          <xdr:nvSpPr>
            <xdr:cNvPr id="5132" name="Check Box 1036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0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52</xdr:row>
          <xdr:rowOff>38100</xdr:rowOff>
        </xdr:from>
        <xdr:to>
          <xdr:col>20</xdr:col>
          <xdr:colOff>342900</xdr:colOff>
          <xdr:row>52</xdr:row>
          <xdr:rowOff>266700</xdr:rowOff>
        </xdr:to>
        <xdr:sp macro="" textlink="">
          <xdr:nvSpPr>
            <xdr:cNvPr id="5133" name="Check Box 1037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0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52</xdr:row>
          <xdr:rowOff>38100</xdr:rowOff>
        </xdr:from>
        <xdr:to>
          <xdr:col>21</xdr:col>
          <xdr:colOff>342900</xdr:colOff>
          <xdr:row>52</xdr:row>
          <xdr:rowOff>266700</xdr:rowOff>
        </xdr:to>
        <xdr:sp macro="" textlink="">
          <xdr:nvSpPr>
            <xdr:cNvPr id="5134" name="Check Box 1038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0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52</xdr:row>
          <xdr:rowOff>38100</xdr:rowOff>
        </xdr:from>
        <xdr:to>
          <xdr:col>22</xdr:col>
          <xdr:colOff>342900</xdr:colOff>
          <xdr:row>52</xdr:row>
          <xdr:rowOff>266700</xdr:rowOff>
        </xdr:to>
        <xdr:sp macro="" textlink="">
          <xdr:nvSpPr>
            <xdr:cNvPr id="5135" name="Check Box 1039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0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52</xdr:row>
          <xdr:rowOff>38100</xdr:rowOff>
        </xdr:from>
        <xdr:to>
          <xdr:col>23</xdr:col>
          <xdr:colOff>342900</xdr:colOff>
          <xdr:row>52</xdr:row>
          <xdr:rowOff>266700</xdr:rowOff>
        </xdr:to>
        <xdr:sp macro="" textlink="">
          <xdr:nvSpPr>
            <xdr:cNvPr id="5136" name="Check Box 1040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0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52</xdr:row>
          <xdr:rowOff>38100</xdr:rowOff>
        </xdr:from>
        <xdr:to>
          <xdr:col>24</xdr:col>
          <xdr:colOff>342900</xdr:colOff>
          <xdr:row>52</xdr:row>
          <xdr:rowOff>266700</xdr:rowOff>
        </xdr:to>
        <xdr:sp macro="" textlink="">
          <xdr:nvSpPr>
            <xdr:cNvPr id="5137" name="Check Box 1041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0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52</xdr:row>
          <xdr:rowOff>38100</xdr:rowOff>
        </xdr:from>
        <xdr:to>
          <xdr:col>25</xdr:col>
          <xdr:colOff>342900</xdr:colOff>
          <xdr:row>52</xdr:row>
          <xdr:rowOff>266700</xdr:rowOff>
        </xdr:to>
        <xdr:sp macro="" textlink="">
          <xdr:nvSpPr>
            <xdr:cNvPr id="5138" name="Check Box 1042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0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52</xdr:row>
          <xdr:rowOff>38100</xdr:rowOff>
        </xdr:from>
        <xdr:to>
          <xdr:col>26</xdr:col>
          <xdr:colOff>342900</xdr:colOff>
          <xdr:row>52</xdr:row>
          <xdr:rowOff>266700</xdr:rowOff>
        </xdr:to>
        <xdr:sp macro="" textlink="">
          <xdr:nvSpPr>
            <xdr:cNvPr id="5139" name="Check Box 1043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0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52</xdr:row>
          <xdr:rowOff>38100</xdr:rowOff>
        </xdr:from>
        <xdr:to>
          <xdr:col>27</xdr:col>
          <xdr:colOff>342900</xdr:colOff>
          <xdr:row>52</xdr:row>
          <xdr:rowOff>266700</xdr:rowOff>
        </xdr:to>
        <xdr:sp macro="" textlink="">
          <xdr:nvSpPr>
            <xdr:cNvPr id="5140" name="Check Box 1044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0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52</xdr:row>
          <xdr:rowOff>38100</xdr:rowOff>
        </xdr:from>
        <xdr:to>
          <xdr:col>28</xdr:col>
          <xdr:colOff>342900</xdr:colOff>
          <xdr:row>52</xdr:row>
          <xdr:rowOff>266700</xdr:rowOff>
        </xdr:to>
        <xdr:sp macro="" textlink="">
          <xdr:nvSpPr>
            <xdr:cNvPr id="5141" name="Check Box 1045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0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52</xdr:row>
          <xdr:rowOff>38100</xdr:rowOff>
        </xdr:from>
        <xdr:to>
          <xdr:col>29</xdr:col>
          <xdr:colOff>342900</xdr:colOff>
          <xdr:row>52</xdr:row>
          <xdr:rowOff>266700</xdr:rowOff>
        </xdr:to>
        <xdr:sp macro="" textlink="">
          <xdr:nvSpPr>
            <xdr:cNvPr id="5142" name="Check Box 1046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0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52</xdr:row>
          <xdr:rowOff>38100</xdr:rowOff>
        </xdr:from>
        <xdr:to>
          <xdr:col>30</xdr:col>
          <xdr:colOff>342900</xdr:colOff>
          <xdr:row>52</xdr:row>
          <xdr:rowOff>266700</xdr:rowOff>
        </xdr:to>
        <xdr:sp macro="" textlink="">
          <xdr:nvSpPr>
            <xdr:cNvPr id="5143" name="Check Box 1047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0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52</xdr:row>
          <xdr:rowOff>38100</xdr:rowOff>
        </xdr:from>
        <xdr:to>
          <xdr:col>31</xdr:col>
          <xdr:colOff>342900</xdr:colOff>
          <xdr:row>52</xdr:row>
          <xdr:rowOff>266700</xdr:rowOff>
        </xdr:to>
        <xdr:sp macro="" textlink="">
          <xdr:nvSpPr>
            <xdr:cNvPr id="5144" name="Check Box 1048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0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52</xdr:row>
          <xdr:rowOff>38100</xdr:rowOff>
        </xdr:from>
        <xdr:to>
          <xdr:col>32</xdr:col>
          <xdr:colOff>342900</xdr:colOff>
          <xdr:row>52</xdr:row>
          <xdr:rowOff>266700</xdr:rowOff>
        </xdr:to>
        <xdr:sp macro="" textlink="">
          <xdr:nvSpPr>
            <xdr:cNvPr id="5145" name="Check Box 1049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0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52</xdr:row>
          <xdr:rowOff>38100</xdr:rowOff>
        </xdr:from>
        <xdr:to>
          <xdr:col>33</xdr:col>
          <xdr:colOff>342900</xdr:colOff>
          <xdr:row>52</xdr:row>
          <xdr:rowOff>266700</xdr:rowOff>
        </xdr:to>
        <xdr:sp macro="" textlink="">
          <xdr:nvSpPr>
            <xdr:cNvPr id="5146" name="Check Box 1050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0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52</xdr:row>
          <xdr:rowOff>38100</xdr:rowOff>
        </xdr:from>
        <xdr:to>
          <xdr:col>34</xdr:col>
          <xdr:colOff>342900</xdr:colOff>
          <xdr:row>52</xdr:row>
          <xdr:rowOff>266700</xdr:rowOff>
        </xdr:to>
        <xdr:sp macro="" textlink="">
          <xdr:nvSpPr>
            <xdr:cNvPr id="5147" name="Check Box 1051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0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52</xdr:row>
          <xdr:rowOff>38100</xdr:rowOff>
        </xdr:from>
        <xdr:to>
          <xdr:col>35</xdr:col>
          <xdr:colOff>342900</xdr:colOff>
          <xdr:row>52</xdr:row>
          <xdr:rowOff>266700</xdr:rowOff>
        </xdr:to>
        <xdr:sp macro="" textlink="">
          <xdr:nvSpPr>
            <xdr:cNvPr id="5148" name="Check Box 1052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0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52</xdr:row>
          <xdr:rowOff>38100</xdr:rowOff>
        </xdr:from>
        <xdr:to>
          <xdr:col>36</xdr:col>
          <xdr:colOff>342900</xdr:colOff>
          <xdr:row>52</xdr:row>
          <xdr:rowOff>266700</xdr:rowOff>
        </xdr:to>
        <xdr:sp macro="" textlink="">
          <xdr:nvSpPr>
            <xdr:cNvPr id="5149" name="Check Box 1053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0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52</xdr:row>
          <xdr:rowOff>38100</xdr:rowOff>
        </xdr:from>
        <xdr:to>
          <xdr:col>37</xdr:col>
          <xdr:colOff>342900</xdr:colOff>
          <xdr:row>52</xdr:row>
          <xdr:rowOff>266700</xdr:rowOff>
        </xdr:to>
        <xdr:sp macro="" textlink="">
          <xdr:nvSpPr>
            <xdr:cNvPr id="5150" name="Check Box 1054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0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53</xdr:row>
          <xdr:rowOff>38100</xdr:rowOff>
        </xdr:from>
        <xdr:to>
          <xdr:col>7</xdr:col>
          <xdr:colOff>342900</xdr:colOff>
          <xdr:row>53</xdr:row>
          <xdr:rowOff>266700</xdr:rowOff>
        </xdr:to>
        <xdr:sp macro="" textlink="">
          <xdr:nvSpPr>
            <xdr:cNvPr id="5151" name="Check Box 1055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0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53</xdr:row>
          <xdr:rowOff>38100</xdr:rowOff>
        </xdr:from>
        <xdr:to>
          <xdr:col>8</xdr:col>
          <xdr:colOff>342900</xdr:colOff>
          <xdr:row>53</xdr:row>
          <xdr:rowOff>266700</xdr:rowOff>
        </xdr:to>
        <xdr:sp macro="" textlink="">
          <xdr:nvSpPr>
            <xdr:cNvPr id="5152" name="Check Box 1056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0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53</xdr:row>
          <xdr:rowOff>38100</xdr:rowOff>
        </xdr:from>
        <xdr:to>
          <xdr:col>9</xdr:col>
          <xdr:colOff>342900</xdr:colOff>
          <xdr:row>53</xdr:row>
          <xdr:rowOff>266700</xdr:rowOff>
        </xdr:to>
        <xdr:sp macro="" textlink="">
          <xdr:nvSpPr>
            <xdr:cNvPr id="5153" name="Check Box 1057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0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53</xdr:row>
          <xdr:rowOff>38100</xdr:rowOff>
        </xdr:from>
        <xdr:to>
          <xdr:col>10</xdr:col>
          <xdr:colOff>342900</xdr:colOff>
          <xdr:row>53</xdr:row>
          <xdr:rowOff>266700</xdr:rowOff>
        </xdr:to>
        <xdr:sp macro="" textlink="">
          <xdr:nvSpPr>
            <xdr:cNvPr id="5154" name="Check Box 1058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0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53</xdr:row>
          <xdr:rowOff>38100</xdr:rowOff>
        </xdr:from>
        <xdr:to>
          <xdr:col>11</xdr:col>
          <xdr:colOff>342900</xdr:colOff>
          <xdr:row>53</xdr:row>
          <xdr:rowOff>266700</xdr:rowOff>
        </xdr:to>
        <xdr:sp macro="" textlink="">
          <xdr:nvSpPr>
            <xdr:cNvPr id="5155" name="Check Box 1059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0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53</xdr:row>
          <xdr:rowOff>38100</xdr:rowOff>
        </xdr:from>
        <xdr:to>
          <xdr:col>12</xdr:col>
          <xdr:colOff>342900</xdr:colOff>
          <xdr:row>53</xdr:row>
          <xdr:rowOff>266700</xdr:rowOff>
        </xdr:to>
        <xdr:sp macro="" textlink="">
          <xdr:nvSpPr>
            <xdr:cNvPr id="5156" name="Check Box 1060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0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53</xdr:row>
          <xdr:rowOff>38100</xdr:rowOff>
        </xdr:from>
        <xdr:to>
          <xdr:col>13</xdr:col>
          <xdr:colOff>342900</xdr:colOff>
          <xdr:row>53</xdr:row>
          <xdr:rowOff>266700</xdr:rowOff>
        </xdr:to>
        <xdr:sp macro="" textlink="">
          <xdr:nvSpPr>
            <xdr:cNvPr id="5157" name="Check Box 1061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0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53</xdr:row>
          <xdr:rowOff>38100</xdr:rowOff>
        </xdr:from>
        <xdr:to>
          <xdr:col>14</xdr:col>
          <xdr:colOff>342900</xdr:colOff>
          <xdr:row>53</xdr:row>
          <xdr:rowOff>266700</xdr:rowOff>
        </xdr:to>
        <xdr:sp macro="" textlink="">
          <xdr:nvSpPr>
            <xdr:cNvPr id="5158" name="Check Box 1062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0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53</xdr:row>
          <xdr:rowOff>38100</xdr:rowOff>
        </xdr:from>
        <xdr:to>
          <xdr:col>15</xdr:col>
          <xdr:colOff>342900</xdr:colOff>
          <xdr:row>53</xdr:row>
          <xdr:rowOff>266700</xdr:rowOff>
        </xdr:to>
        <xdr:sp macro="" textlink="">
          <xdr:nvSpPr>
            <xdr:cNvPr id="5159" name="Check Box 1063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0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53</xdr:row>
          <xdr:rowOff>38100</xdr:rowOff>
        </xdr:from>
        <xdr:to>
          <xdr:col>16</xdr:col>
          <xdr:colOff>342900</xdr:colOff>
          <xdr:row>53</xdr:row>
          <xdr:rowOff>266700</xdr:rowOff>
        </xdr:to>
        <xdr:sp macro="" textlink="">
          <xdr:nvSpPr>
            <xdr:cNvPr id="5160" name="Check Box 1064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0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53</xdr:row>
          <xdr:rowOff>38100</xdr:rowOff>
        </xdr:from>
        <xdr:to>
          <xdr:col>17</xdr:col>
          <xdr:colOff>342900</xdr:colOff>
          <xdr:row>53</xdr:row>
          <xdr:rowOff>266700</xdr:rowOff>
        </xdr:to>
        <xdr:sp macro="" textlink="">
          <xdr:nvSpPr>
            <xdr:cNvPr id="5161" name="Check Box 1065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0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53</xdr:row>
          <xdr:rowOff>38100</xdr:rowOff>
        </xdr:from>
        <xdr:to>
          <xdr:col>18</xdr:col>
          <xdr:colOff>342900</xdr:colOff>
          <xdr:row>53</xdr:row>
          <xdr:rowOff>266700</xdr:rowOff>
        </xdr:to>
        <xdr:sp macro="" textlink="">
          <xdr:nvSpPr>
            <xdr:cNvPr id="5162" name="Check Box 1066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0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53</xdr:row>
          <xdr:rowOff>38100</xdr:rowOff>
        </xdr:from>
        <xdr:to>
          <xdr:col>19</xdr:col>
          <xdr:colOff>342900</xdr:colOff>
          <xdr:row>53</xdr:row>
          <xdr:rowOff>266700</xdr:rowOff>
        </xdr:to>
        <xdr:sp macro="" textlink="">
          <xdr:nvSpPr>
            <xdr:cNvPr id="5163" name="Check Box 1067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0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53</xdr:row>
          <xdr:rowOff>38100</xdr:rowOff>
        </xdr:from>
        <xdr:to>
          <xdr:col>20</xdr:col>
          <xdr:colOff>342900</xdr:colOff>
          <xdr:row>53</xdr:row>
          <xdr:rowOff>266700</xdr:rowOff>
        </xdr:to>
        <xdr:sp macro="" textlink="">
          <xdr:nvSpPr>
            <xdr:cNvPr id="5164" name="Check Box 1068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0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53</xdr:row>
          <xdr:rowOff>38100</xdr:rowOff>
        </xdr:from>
        <xdr:to>
          <xdr:col>21</xdr:col>
          <xdr:colOff>342900</xdr:colOff>
          <xdr:row>53</xdr:row>
          <xdr:rowOff>266700</xdr:rowOff>
        </xdr:to>
        <xdr:sp macro="" textlink="">
          <xdr:nvSpPr>
            <xdr:cNvPr id="5165" name="Check Box 1069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0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53</xdr:row>
          <xdr:rowOff>38100</xdr:rowOff>
        </xdr:from>
        <xdr:to>
          <xdr:col>22</xdr:col>
          <xdr:colOff>342900</xdr:colOff>
          <xdr:row>53</xdr:row>
          <xdr:rowOff>266700</xdr:rowOff>
        </xdr:to>
        <xdr:sp macro="" textlink="">
          <xdr:nvSpPr>
            <xdr:cNvPr id="5166" name="Check Box 1070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0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53</xdr:row>
          <xdr:rowOff>38100</xdr:rowOff>
        </xdr:from>
        <xdr:to>
          <xdr:col>23</xdr:col>
          <xdr:colOff>342900</xdr:colOff>
          <xdr:row>53</xdr:row>
          <xdr:rowOff>266700</xdr:rowOff>
        </xdr:to>
        <xdr:sp macro="" textlink="">
          <xdr:nvSpPr>
            <xdr:cNvPr id="5167" name="Check Box 1071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0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53</xdr:row>
          <xdr:rowOff>38100</xdr:rowOff>
        </xdr:from>
        <xdr:to>
          <xdr:col>24</xdr:col>
          <xdr:colOff>342900</xdr:colOff>
          <xdr:row>53</xdr:row>
          <xdr:rowOff>266700</xdr:rowOff>
        </xdr:to>
        <xdr:sp macro="" textlink="">
          <xdr:nvSpPr>
            <xdr:cNvPr id="5168" name="Check Box 1072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0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53</xdr:row>
          <xdr:rowOff>38100</xdr:rowOff>
        </xdr:from>
        <xdr:to>
          <xdr:col>25</xdr:col>
          <xdr:colOff>342900</xdr:colOff>
          <xdr:row>53</xdr:row>
          <xdr:rowOff>266700</xdr:rowOff>
        </xdr:to>
        <xdr:sp macro="" textlink="">
          <xdr:nvSpPr>
            <xdr:cNvPr id="5169" name="Check Box 1073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0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53</xdr:row>
          <xdr:rowOff>38100</xdr:rowOff>
        </xdr:from>
        <xdr:to>
          <xdr:col>26</xdr:col>
          <xdr:colOff>342900</xdr:colOff>
          <xdr:row>53</xdr:row>
          <xdr:rowOff>266700</xdr:rowOff>
        </xdr:to>
        <xdr:sp macro="" textlink="">
          <xdr:nvSpPr>
            <xdr:cNvPr id="5170" name="Check Box 1074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0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53</xdr:row>
          <xdr:rowOff>38100</xdr:rowOff>
        </xdr:from>
        <xdr:to>
          <xdr:col>27</xdr:col>
          <xdr:colOff>342900</xdr:colOff>
          <xdr:row>53</xdr:row>
          <xdr:rowOff>266700</xdr:rowOff>
        </xdr:to>
        <xdr:sp macro="" textlink="">
          <xdr:nvSpPr>
            <xdr:cNvPr id="5171" name="Check Box 1075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0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53</xdr:row>
          <xdr:rowOff>38100</xdr:rowOff>
        </xdr:from>
        <xdr:to>
          <xdr:col>28</xdr:col>
          <xdr:colOff>342900</xdr:colOff>
          <xdr:row>53</xdr:row>
          <xdr:rowOff>266700</xdr:rowOff>
        </xdr:to>
        <xdr:sp macro="" textlink="">
          <xdr:nvSpPr>
            <xdr:cNvPr id="5172" name="Check Box 1076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0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53</xdr:row>
          <xdr:rowOff>38100</xdr:rowOff>
        </xdr:from>
        <xdr:to>
          <xdr:col>29</xdr:col>
          <xdr:colOff>342900</xdr:colOff>
          <xdr:row>53</xdr:row>
          <xdr:rowOff>266700</xdr:rowOff>
        </xdr:to>
        <xdr:sp macro="" textlink="">
          <xdr:nvSpPr>
            <xdr:cNvPr id="5173" name="Check Box 1077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0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53</xdr:row>
          <xdr:rowOff>38100</xdr:rowOff>
        </xdr:from>
        <xdr:to>
          <xdr:col>30</xdr:col>
          <xdr:colOff>342900</xdr:colOff>
          <xdr:row>53</xdr:row>
          <xdr:rowOff>266700</xdr:rowOff>
        </xdr:to>
        <xdr:sp macro="" textlink="">
          <xdr:nvSpPr>
            <xdr:cNvPr id="5174" name="Check Box 1078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0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53</xdr:row>
          <xdr:rowOff>38100</xdr:rowOff>
        </xdr:from>
        <xdr:to>
          <xdr:col>31</xdr:col>
          <xdr:colOff>342900</xdr:colOff>
          <xdr:row>53</xdr:row>
          <xdr:rowOff>266700</xdr:rowOff>
        </xdr:to>
        <xdr:sp macro="" textlink="">
          <xdr:nvSpPr>
            <xdr:cNvPr id="5175" name="Check Box 1079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0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53</xdr:row>
          <xdr:rowOff>38100</xdr:rowOff>
        </xdr:from>
        <xdr:to>
          <xdr:col>32</xdr:col>
          <xdr:colOff>342900</xdr:colOff>
          <xdr:row>53</xdr:row>
          <xdr:rowOff>266700</xdr:rowOff>
        </xdr:to>
        <xdr:sp macro="" textlink="">
          <xdr:nvSpPr>
            <xdr:cNvPr id="5176" name="Check Box 1080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0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53</xdr:row>
          <xdr:rowOff>38100</xdr:rowOff>
        </xdr:from>
        <xdr:to>
          <xdr:col>33</xdr:col>
          <xdr:colOff>342900</xdr:colOff>
          <xdr:row>53</xdr:row>
          <xdr:rowOff>266700</xdr:rowOff>
        </xdr:to>
        <xdr:sp macro="" textlink="">
          <xdr:nvSpPr>
            <xdr:cNvPr id="5177" name="Check Box 1081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0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53</xdr:row>
          <xdr:rowOff>38100</xdr:rowOff>
        </xdr:from>
        <xdr:to>
          <xdr:col>34</xdr:col>
          <xdr:colOff>342900</xdr:colOff>
          <xdr:row>53</xdr:row>
          <xdr:rowOff>266700</xdr:rowOff>
        </xdr:to>
        <xdr:sp macro="" textlink="">
          <xdr:nvSpPr>
            <xdr:cNvPr id="5178" name="Check Box 1082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0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53</xdr:row>
          <xdr:rowOff>38100</xdr:rowOff>
        </xdr:from>
        <xdr:to>
          <xdr:col>35</xdr:col>
          <xdr:colOff>342900</xdr:colOff>
          <xdr:row>53</xdr:row>
          <xdr:rowOff>266700</xdr:rowOff>
        </xdr:to>
        <xdr:sp macro="" textlink="">
          <xdr:nvSpPr>
            <xdr:cNvPr id="5179" name="Check Box 1083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0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53</xdr:row>
          <xdr:rowOff>38100</xdr:rowOff>
        </xdr:from>
        <xdr:to>
          <xdr:col>36</xdr:col>
          <xdr:colOff>342900</xdr:colOff>
          <xdr:row>53</xdr:row>
          <xdr:rowOff>266700</xdr:rowOff>
        </xdr:to>
        <xdr:sp macro="" textlink="">
          <xdr:nvSpPr>
            <xdr:cNvPr id="5180" name="Check Box 1084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0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53</xdr:row>
          <xdr:rowOff>38100</xdr:rowOff>
        </xdr:from>
        <xdr:to>
          <xdr:col>37</xdr:col>
          <xdr:colOff>342900</xdr:colOff>
          <xdr:row>53</xdr:row>
          <xdr:rowOff>266700</xdr:rowOff>
        </xdr:to>
        <xdr:sp macro="" textlink="">
          <xdr:nvSpPr>
            <xdr:cNvPr id="5181" name="Check Box 1085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0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54</xdr:row>
          <xdr:rowOff>38100</xdr:rowOff>
        </xdr:from>
        <xdr:to>
          <xdr:col>7</xdr:col>
          <xdr:colOff>342900</xdr:colOff>
          <xdr:row>54</xdr:row>
          <xdr:rowOff>266700</xdr:rowOff>
        </xdr:to>
        <xdr:sp macro="" textlink="">
          <xdr:nvSpPr>
            <xdr:cNvPr id="5182" name="Check Box 1086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0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54</xdr:row>
          <xdr:rowOff>38100</xdr:rowOff>
        </xdr:from>
        <xdr:to>
          <xdr:col>8</xdr:col>
          <xdr:colOff>342900</xdr:colOff>
          <xdr:row>54</xdr:row>
          <xdr:rowOff>266700</xdr:rowOff>
        </xdr:to>
        <xdr:sp macro="" textlink="">
          <xdr:nvSpPr>
            <xdr:cNvPr id="5183" name="Check Box 1087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0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54</xdr:row>
          <xdr:rowOff>38100</xdr:rowOff>
        </xdr:from>
        <xdr:to>
          <xdr:col>9</xdr:col>
          <xdr:colOff>342900</xdr:colOff>
          <xdr:row>54</xdr:row>
          <xdr:rowOff>266700</xdr:rowOff>
        </xdr:to>
        <xdr:sp macro="" textlink="">
          <xdr:nvSpPr>
            <xdr:cNvPr id="5184" name="Check Box 1088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0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54</xdr:row>
          <xdr:rowOff>38100</xdr:rowOff>
        </xdr:from>
        <xdr:to>
          <xdr:col>10</xdr:col>
          <xdr:colOff>342900</xdr:colOff>
          <xdr:row>54</xdr:row>
          <xdr:rowOff>266700</xdr:rowOff>
        </xdr:to>
        <xdr:sp macro="" textlink="">
          <xdr:nvSpPr>
            <xdr:cNvPr id="5185" name="Check Box 1089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0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54</xdr:row>
          <xdr:rowOff>38100</xdr:rowOff>
        </xdr:from>
        <xdr:to>
          <xdr:col>11</xdr:col>
          <xdr:colOff>342900</xdr:colOff>
          <xdr:row>54</xdr:row>
          <xdr:rowOff>266700</xdr:rowOff>
        </xdr:to>
        <xdr:sp macro="" textlink="">
          <xdr:nvSpPr>
            <xdr:cNvPr id="5186" name="Check Box 1090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0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54</xdr:row>
          <xdr:rowOff>38100</xdr:rowOff>
        </xdr:from>
        <xdr:to>
          <xdr:col>12</xdr:col>
          <xdr:colOff>342900</xdr:colOff>
          <xdr:row>54</xdr:row>
          <xdr:rowOff>266700</xdr:rowOff>
        </xdr:to>
        <xdr:sp macro="" textlink="">
          <xdr:nvSpPr>
            <xdr:cNvPr id="5187" name="Check Box 1091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0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54</xdr:row>
          <xdr:rowOff>38100</xdr:rowOff>
        </xdr:from>
        <xdr:to>
          <xdr:col>13</xdr:col>
          <xdr:colOff>342900</xdr:colOff>
          <xdr:row>54</xdr:row>
          <xdr:rowOff>266700</xdr:rowOff>
        </xdr:to>
        <xdr:sp macro="" textlink="">
          <xdr:nvSpPr>
            <xdr:cNvPr id="5188" name="Check Box 1092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0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54</xdr:row>
          <xdr:rowOff>38100</xdr:rowOff>
        </xdr:from>
        <xdr:to>
          <xdr:col>14</xdr:col>
          <xdr:colOff>342900</xdr:colOff>
          <xdr:row>54</xdr:row>
          <xdr:rowOff>266700</xdr:rowOff>
        </xdr:to>
        <xdr:sp macro="" textlink="">
          <xdr:nvSpPr>
            <xdr:cNvPr id="5189" name="Check Box 1093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0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54</xdr:row>
          <xdr:rowOff>38100</xdr:rowOff>
        </xdr:from>
        <xdr:to>
          <xdr:col>15</xdr:col>
          <xdr:colOff>342900</xdr:colOff>
          <xdr:row>54</xdr:row>
          <xdr:rowOff>266700</xdr:rowOff>
        </xdr:to>
        <xdr:sp macro="" textlink="">
          <xdr:nvSpPr>
            <xdr:cNvPr id="5190" name="Check Box 1094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0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54</xdr:row>
          <xdr:rowOff>38100</xdr:rowOff>
        </xdr:from>
        <xdr:to>
          <xdr:col>16</xdr:col>
          <xdr:colOff>342900</xdr:colOff>
          <xdr:row>54</xdr:row>
          <xdr:rowOff>266700</xdr:rowOff>
        </xdr:to>
        <xdr:sp macro="" textlink="">
          <xdr:nvSpPr>
            <xdr:cNvPr id="5191" name="Check Box 1095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0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54</xdr:row>
          <xdr:rowOff>38100</xdr:rowOff>
        </xdr:from>
        <xdr:to>
          <xdr:col>17</xdr:col>
          <xdr:colOff>342900</xdr:colOff>
          <xdr:row>54</xdr:row>
          <xdr:rowOff>266700</xdr:rowOff>
        </xdr:to>
        <xdr:sp macro="" textlink="">
          <xdr:nvSpPr>
            <xdr:cNvPr id="5192" name="Check Box 1096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0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54</xdr:row>
          <xdr:rowOff>38100</xdr:rowOff>
        </xdr:from>
        <xdr:to>
          <xdr:col>18</xdr:col>
          <xdr:colOff>342900</xdr:colOff>
          <xdr:row>54</xdr:row>
          <xdr:rowOff>266700</xdr:rowOff>
        </xdr:to>
        <xdr:sp macro="" textlink="">
          <xdr:nvSpPr>
            <xdr:cNvPr id="5193" name="Check Box 1097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0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54</xdr:row>
          <xdr:rowOff>38100</xdr:rowOff>
        </xdr:from>
        <xdr:to>
          <xdr:col>19</xdr:col>
          <xdr:colOff>342900</xdr:colOff>
          <xdr:row>54</xdr:row>
          <xdr:rowOff>266700</xdr:rowOff>
        </xdr:to>
        <xdr:sp macro="" textlink="">
          <xdr:nvSpPr>
            <xdr:cNvPr id="5194" name="Check Box 1098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0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54</xdr:row>
          <xdr:rowOff>38100</xdr:rowOff>
        </xdr:from>
        <xdr:to>
          <xdr:col>20</xdr:col>
          <xdr:colOff>342900</xdr:colOff>
          <xdr:row>54</xdr:row>
          <xdr:rowOff>266700</xdr:rowOff>
        </xdr:to>
        <xdr:sp macro="" textlink="">
          <xdr:nvSpPr>
            <xdr:cNvPr id="5195" name="Check Box 1099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0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54</xdr:row>
          <xdr:rowOff>38100</xdr:rowOff>
        </xdr:from>
        <xdr:to>
          <xdr:col>21</xdr:col>
          <xdr:colOff>342900</xdr:colOff>
          <xdr:row>54</xdr:row>
          <xdr:rowOff>266700</xdr:rowOff>
        </xdr:to>
        <xdr:sp macro="" textlink="">
          <xdr:nvSpPr>
            <xdr:cNvPr id="5196" name="Check Box 1100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0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54</xdr:row>
          <xdr:rowOff>38100</xdr:rowOff>
        </xdr:from>
        <xdr:to>
          <xdr:col>22</xdr:col>
          <xdr:colOff>342900</xdr:colOff>
          <xdr:row>54</xdr:row>
          <xdr:rowOff>266700</xdr:rowOff>
        </xdr:to>
        <xdr:sp macro="" textlink="">
          <xdr:nvSpPr>
            <xdr:cNvPr id="5197" name="Check Box 1101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0000000-0008-0000-0000-00004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54</xdr:row>
          <xdr:rowOff>38100</xdr:rowOff>
        </xdr:from>
        <xdr:to>
          <xdr:col>23</xdr:col>
          <xdr:colOff>342900</xdr:colOff>
          <xdr:row>54</xdr:row>
          <xdr:rowOff>266700</xdr:rowOff>
        </xdr:to>
        <xdr:sp macro="" textlink="">
          <xdr:nvSpPr>
            <xdr:cNvPr id="5198" name="Check Box 1102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00000000-0008-0000-0000-00004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54</xdr:row>
          <xdr:rowOff>38100</xdr:rowOff>
        </xdr:from>
        <xdr:to>
          <xdr:col>24</xdr:col>
          <xdr:colOff>342900</xdr:colOff>
          <xdr:row>54</xdr:row>
          <xdr:rowOff>266700</xdr:rowOff>
        </xdr:to>
        <xdr:sp macro="" textlink="">
          <xdr:nvSpPr>
            <xdr:cNvPr id="5199" name="Check Box 1103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00000000-0008-0000-0000-00004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54</xdr:row>
          <xdr:rowOff>38100</xdr:rowOff>
        </xdr:from>
        <xdr:to>
          <xdr:col>25</xdr:col>
          <xdr:colOff>342900</xdr:colOff>
          <xdr:row>54</xdr:row>
          <xdr:rowOff>266700</xdr:rowOff>
        </xdr:to>
        <xdr:sp macro="" textlink="">
          <xdr:nvSpPr>
            <xdr:cNvPr id="5200" name="Check Box 1104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0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54</xdr:row>
          <xdr:rowOff>38100</xdr:rowOff>
        </xdr:from>
        <xdr:to>
          <xdr:col>26</xdr:col>
          <xdr:colOff>342900</xdr:colOff>
          <xdr:row>54</xdr:row>
          <xdr:rowOff>266700</xdr:rowOff>
        </xdr:to>
        <xdr:sp macro="" textlink="">
          <xdr:nvSpPr>
            <xdr:cNvPr id="5201" name="Check Box 1105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0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54</xdr:row>
          <xdr:rowOff>38100</xdr:rowOff>
        </xdr:from>
        <xdr:to>
          <xdr:col>27</xdr:col>
          <xdr:colOff>342900</xdr:colOff>
          <xdr:row>54</xdr:row>
          <xdr:rowOff>266700</xdr:rowOff>
        </xdr:to>
        <xdr:sp macro="" textlink="">
          <xdr:nvSpPr>
            <xdr:cNvPr id="5202" name="Check Box 1106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0000000-0008-0000-0000-00005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54</xdr:row>
          <xdr:rowOff>38100</xdr:rowOff>
        </xdr:from>
        <xdr:to>
          <xdr:col>28</xdr:col>
          <xdr:colOff>342900</xdr:colOff>
          <xdr:row>54</xdr:row>
          <xdr:rowOff>266700</xdr:rowOff>
        </xdr:to>
        <xdr:sp macro="" textlink="">
          <xdr:nvSpPr>
            <xdr:cNvPr id="5203" name="Check Box 1107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0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54</xdr:row>
          <xdr:rowOff>38100</xdr:rowOff>
        </xdr:from>
        <xdr:to>
          <xdr:col>29</xdr:col>
          <xdr:colOff>342900</xdr:colOff>
          <xdr:row>54</xdr:row>
          <xdr:rowOff>266700</xdr:rowOff>
        </xdr:to>
        <xdr:sp macro="" textlink="">
          <xdr:nvSpPr>
            <xdr:cNvPr id="5204" name="Check Box 1108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00000000-0008-0000-0000-00005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54</xdr:row>
          <xdr:rowOff>38100</xdr:rowOff>
        </xdr:from>
        <xdr:to>
          <xdr:col>30</xdr:col>
          <xdr:colOff>342900</xdr:colOff>
          <xdr:row>54</xdr:row>
          <xdr:rowOff>266700</xdr:rowOff>
        </xdr:to>
        <xdr:sp macro="" textlink="">
          <xdr:nvSpPr>
            <xdr:cNvPr id="5205" name="Check Box 1109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0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54</xdr:row>
          <xdr:rowOff>38100</xdr:rowOff>
        </xdr:from>
        <xdr:to>
          <xdr:col>31</xdr:col>
          <xdr:colOff>342900</xdr:colOff>
          <xdr:row>54</xdr:row>
          <xdr:rowOff>266700</xdr:rowOff>
        </xdr:to>
        <xdr:sp macro="" textlink="">
          <xdr:nvSpPr>
            <xdr:cNvPr id="5206" name="Check Box 1110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0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54</xdr:row>
          <xdr:rowOff>38100</xdr:rowOff>
        </xdr:from>
        <xdr:to>
          <xdr:col>32</xdr:col>
          <xdr:colOff>342900</xdr:colOff>
          <xdr:row>54</xdr:row>
          <xdr:rowOff>266700</xdr:rowOff>
        </xdr:to>
        <xdr:sp macro="" textlink="">
          <xdr:nvSpPr>
            <xdr:cNvPr id="5207" name="Check Box 1111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0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54</xdr:row>
          <xdr:rowOff>38100</xdr:rowOff>
        </xdr:from>
        <xdr:to>
          <xdr:col>33</xdr:col>
          <xdr:colOff>342900</xdr:colOff>
          <xdr:row>54</xdr:row>
          <xdr:rowOff>266700</xdr:rowOff>
        </xdr:to>
        <xdr:sp macro="" textlink="">
          <xdr:nvSpPr>
            <xdr:cNvPr id="5208" name="Check Box 1112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0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54</xdr:row>
          <xdr:rowOff>38100</xdr:rowOff>
        </xdr:from>
        <xdr:to>
          <xdr:col>34</xdr:col>
          <xdr:colOff>342900</xdr:colOff>
          <xdr:row>54</xdr:row>
          <xdr:rowOff>266700</xdr:rowOff>
        </xdr:to>
        <xdr:sp macro="" textlink="">
          <xdr:nvSpPr>
            <xdr:cNvPr id="5209" name="Check Box 1113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00000000-0008-0000-0000-00005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54</xdr:row>
          <xdr:rowOff>38100</xdr:rowOff>
        </xdr:from>
        <xdr:to>
          <xdr:col>35</xdr:col>
          <xdr:colOff>342900</xdr:colOff>
          <xdr:row>54</xdr:row>
          <xdr:rowOff>266700</xdr:rowOff>
        </xdr:to>
        <xdr:sp macro="" textlink="">
          <xdr:nvSpPr>
            <xdr:cNvPr id="5210" name="Check Box 1114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0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54</xdr:row>
          <xdr:rowOff>38100</xdr:rowOff>
        </xdr:from>
        <xdr:to>
          <xdr:col>36</xdr:col>
          <xdr:colOff>342900</xdr:colOff>
          <xdr:row>54</xdr:row>
          <xdr:rowOff>266700</xdr:rowOff>
        </xdr:to>
        <xdr:sp macro="" textlink="">
          <xdr:nvSpPr>
            <xdr:cNvPr id="5211" name="Check Box 1115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0000000-0008-0000-0000-00005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54</xdr:row>
          <xdr:rowOff>38100</xdr:rowOff>
        </xdr:from>
        <xdr:to>
          <xdr:col>37</xdr:col>
          <xdr:colOff>342900</xdr:colOff>
          <xdr:row>54</xdr:row>
          <xdr:rowOff>266700</xdr:rowOff>
        </xdr:to>
        <xdr:sp macro="" textlink="">
          <xdr:nvSpPr>
            <xdr:cNvPr id="5212" name="Check Box 1116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00000000-0008-0000-0000-00005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55</xdr:row>
          <xdr:rowOff>38100</xdr:rowOff>
        </xdr:from>
        <xdr:to>
          <xdr:col>7</xdr:col>
          <xdr:colOff>342900</xdr:colOff>
          <xdr:row>55</xdr:row>
          <xdr:rowOff>266700</xdr:rowOff>
        </xdr:to>
        <xdr:sp macro="" textlink="">
          <xdr:nvSpPr>
            <xdr:cNvPr id="5213" name="Check Box 1117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0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55</xdr:row>
          <xdr:rowOff>38100</xdr:rowOff>
        </xdr:from>
        <xdr:to>
          <xdr:col>8</xdr:col>
          <xdr:colOff>342900</xdr:colOff>
          <xdr:row>55</xdr:row>
          <xdr:rowOff>266700</xdr:rowOff>
        </xdr:to>
        <xdr:sp macro="" textlink="">
          <xdr:nvSpPr>
            <xdr:cNvPr id="5214" name="Check Box 1118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0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55</xdr:row>
          <xdr:rowOff>38100</xdr:rowOff>
        </xdr:from>
        <xdr:to>
          <xdr:col>9</xdr:col>
          <xdr:colOff>342900</xdr:colOff>
          <xdr:row>55</xdr:row>
          <xdr:rowOff>266700</xdr:rowOff>
        </xdr:to>
        <xdr:sp macro="" textlink="">
          <xdr:nvSpPr>
            <xdr:cNvPr id="5215" name="Check Box 1119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0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55</xdr:row>
          <xdr:rowOff>38100</xdr:rowOff>
        </xdr:from>
        <xdr:to>
          <xdr:col>10</xdr:col>
          <xdr:colOff>342900</xdr:colOff>
          <xdr:row>55</xdr:row>
          <xdr:rowOff>266700</xdr:rowOff>
        </xdr:to>
        <xdr:sp macro="" textlink="">
          <xdr:nvSpPr>
            <xdr:cNvPr id="5216" name="Check Box 1120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0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55</xdr:row>
          <xdr:rowOff>38100</xdr:rowOff>
        </xdr:from>
        <xdr:to>
          <xdr:col>11</xdr:col>
          <xdr:colOff>342900</xdr:colOff>
          <xdr:row>55</xdr:row>
          <xdr:rowOff>266700</xdr:rowOff>
        </xdr:to>
        <xdr:sp macro="" textlink="">
          <xdr:nvSpPr>
            <xdr:cNvPr id="5217" name="Check Box 1121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0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55</xdr:row>
          <xdr:rowOff>38100</xdr:rowOff>
        </xdr:from>
        <xdr:to>
          <xdr:col>12</xdr:col>
          <xdr:colOff>342900</xdr:colOff>
          <xdr:row>55</xdr:row>
          <xdr:rowOff>266700</xdr:rowOff>
        </xdr:to>
        <xdr:sp macro="" textlink="">
          <xdr:nvSpPr>
            <xdr:cNvPr id="5218" name="Check Box 1122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0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55</xdr:row>
          <xdr:rowOff>38100</xdr:rowOff>
        </xdr:from>
        <xdr:to>
          <xdr:col>13</xdr:col>
          <xdr:colOff>342900</xdr:colOff>
          <xdr:row>55</xdr:row>
          <xdr:rowOff>266700</xdr:rowOff>
        </xdr:to>
        <xdr:sp macro="" textlink="">
          <xdr:nvSpPr>
            <xdr:cNvPr id="5219" name="Check Box 1123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0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55</xdr:row>
          <xdr:rowOff>38100</xdr:rowOff>
        </xdr:from>
        <xdr:to>
          <xdr:col>14</xdr:col>
          <xdr:colOff>342900</xdr:colOff>
          <xdr:row>55</xdr:row>
          <xdr:rowOff>266700</xdr:rowOff>
        </xdr:to>
        <xdr:sp macro="" textlink="">
          <xdr:nvSpPr>
            <xdr:cNvPr id="5220" name="Check Box 1124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0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55</xdr:row>
          <xdr:rowOff>38100</xdr:rowOff>
        </xdr:from>
        <xdr:to>
          <xdr:col>15</xdr:col>
          <xdr:colOff>342900</xdr:colOff>
          <xdr:row>55</xdr:row>
          <xdr:rowOff>266700</xdr:rowOff>
        </xdr:to>
        <xdr:sp macro="" textlink="">
          <xdr:nvSpPr>
            <xdr:cNvPr id="5221" name="Check Box 1125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0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55</xdr:row>
          <xdr:rowOff>38100</xdr:rowOff>
        </xdr:from>
        <xdr:to>
          <xdr:col>16</xdr:col>
          <xdr:colOff>342900</xdr:colOff>
          <xdr:row>55</xdr:row>
          <xdr:rowOff>266700</xdr:rowOff>
        </xdr:to>
        <xdr:sp macro="" textlink="">
          <xdr:nvSpPr>
            <xdr:cNvPr id="5222" name="Check Box 1126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00000000-0008-0000-0000-00006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55</xdr:row>
          <xdr:rowOff>38100</xdr:rowOff>
        </xdr:from>
        <xdr:to>
          <xdr:col>17</xdr:col>
          <xdr:colOff>342900</xdr:colOff>
          <xdr:row>55</xdr:row>
          <xdr:rowOff>266700</xdr:rowOff>
        </xdr:to>
        <xdr:sp macro="" textlink="">
          <xdr:nvSpPr>
            <xdr:cNvPr id="5223" name="Check Box 1127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00000000-0008-0000-0000-00006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55</xdr:row>
          <xdr:rowOff>38100</xdr:rowOff>
        </xdr:from>
        <xdr:to>
          <xdr:col>18</xdr:col>
          <xdr:colOff>342900</xdr:colOff>
          <xdr:row>55</xdr:row>
          <xdr:rowOff>266700</xdr:rowOff>
        </xdr:to>
        <xdr:sp macro="" textlink="">
          <xdr:nvSpPr>
            <xdr:cNvPr id="5224" name="Check Box 1128" hidden="1">
              <a:extLst>
                <a:ext uri="{63B3BB69-23CF-44E3-9099-C40C66FF867C}">
                  <a14:compatExt spid="_x0000_s5224"/>
                </a:ext>
                <a:ext uri="{FF2B5EF4-FFF2-40B4-BE49-F238E27FC236}">
                  <a16:creationId xmlns:a16="http://schemas.microsoft.com/office/drawing/2014/main" id="{00000000-0008-0000-0000-00006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55</xdr:row>
          <xdr:rowOff>38100</xdr:rowOff>
        </xdr:from>
        <xdr:to>
          <xdr:col>19</xdr:col>
          <xdr:colOff>342900</xdr:colOff>
          <xdr:row>55</xdr:row>
          <xdr:rowOff>266700</xdr:rowOff>
        </xdr:to>
        <xdr:sp macro="" textlink="">
          <xdr:nvSpPr>
            <xdr:cNvPr id="5225" name="Check Box 1129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00000000-0008-0000-0000-00006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55</xdr:row>
          <xdr:rowOff>38100</xdr:rowOff>
        </xdr:from>
        <xdr:to>
          <xdr:col>20</xdr:col>
          <xdr:colOff>342900</xdr:colOff>
          <xdr:row>55</xdr:row>
          <xdr:rowOff>266700</xdr:rowOff>
        </xdr:to>
        <xdr:sp macro="" textlink="">
          <xdr:nvSpPr>
            <xdr:cNvPr id="5226" name="Check Box 1130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00000000-0008-0000-0000-00006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55</xdr:row>
          <xdr:rowOff>38100</xdr:rowOff>
        </xdr:from>
        <xdr:to>
          <xdr:col>21</xdr:col>
          <xdr:colOff>342900</xdr:colOff>
          <xdr:row>55</xdr:row>
          <xdr:rowOff>266700</xdr:rowOff>
        </xdr:to>
        <xdr:sp macro="" textlink="">
          <xdr:nvSpPr>
            <xdr:cNvPr id="5227" name="Check Box 1131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00000000-0008-0000-0000-00006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55</xdr:row>
          <xdr:rowOff>38100</xdr:rowOff>
        </xdr:from>
        <xdr:to>
          <xdr:col>22</xdr:col>
          <xdr:colOff>342900</xdr:colOff>
          <xdr:row>55</xdr:row>
          <xdr:rowOff>266700</xdr:rowOff>
        </xdr:to>
        <xdr:sp macro="" textlink="">
          <xdr:nvSpPr>
            <xdr:cNvPr id="5228" name="Check Box 1132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0000000-0008-0000-0000-00006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55</xdr:row>
          <xdr:rowOff>38100</xdr:rowOff>
        </xdr:from>
        <xdr:to>
          <xdr:col>23</xdr:col>
          <xdr:colOff>342900</xdr:colOff>
          <xdr:row>55</xdr:row>
          <xdr:rowOff>266700</xdr:rowOff>
        </xdr:to>
        <xdr:sp macro="" textlink="">
          <xdr:nvSpPr>
            <xdr:cNvPr id="5229" name="Check Box 1133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00000000-0008-0000-0000-00006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55</xdr:row>
          <xdr:rowOff>38100</xdr:rowOff>
        </xdr:from>
        <xdr:to>
          <xdr:col>24</xdr:col>
          <xdr:colOff>342900</xdr:colOff>
          <xdr:row>55</xdr:row>
          <xdr:rowOff>266700</xdr:rowOff>
        </xdr:to>
        <xdr:sp macro="" textlink="">
          <xdr:nvSpPr>
            <xdr:cNvPr id="5230" name="Check Box 1134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00000000-0008-0000-0000-00006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55</xdr:row>
          <xdr:rowOff>38100</xdr:rowOff>
        </xdr:from>
        <xdr:to>
          <xdr:col>25</xdr:col>
          <xdr:colOff>342900</xdr:colOff>
          <xdr:row>55</xdr:row>
          <xdr:rowOff>266700</xdr:rowOff>
        </xdr:to>
        <xdr:sp macro="" textlink="">
          <xdr:nvSpPr>
            <xdr:cNvPr id="5231" name="Check Box 1135" hidden="1">
              <a:extLst>
                <a:ext uri="{63B3BB69-23CF-44E3-9099-C40C66FF867C}">
                  <a14:compatExt spid="_x0000_s5231"/>
                </a:ext>
                <a:ext uri="{FF2B5EF4-FFF2-40B4-BE49-F238E27FC236}">
                  <a16:creationId xmlns:a16="http://schemas.microsoft.com/office/drawing/2014/main" id="{00000000-0008-0000-0000-00006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55</xdr:row>
          <xdr:rowOff>38100</xdr:rowOff>
        </xdr:from>
        <xdr:to>
          <xdr:col>26</xdr:col>
          <xdr:colOff>342900</xdr:colOff>
          <xdr:row>55</xdr:row>
          <xdr:rowOff>266700</xdr:rowOff>
        </xdr:to>
        <xdr:sp macro="" textlink="">
          <xdr:nvSpPr>
            <xdr:cNvPr id="5232" name="Check Box 1136" hidden="1">
              <a:extLst>
                <a:ext uri="{63B3BB69-23CF-44E3-9099-C40C66FF867C}">
                  <a14:compatExt spid="_x0000_s5232"/>
                </a:ext>
                <a:ext uri="{FF2B5EF4-FFF2-40B4-BE49-F238E27FC236}">
                  <a16:creationId xmlns:a16="http://schemas.microsoft.com/office/drawing/2014/main" id="{00000000-0008-0000-0000-00007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55</xdr:row>
          <xdr:rowOff>38100</xdr:rowOff>
        </xdr:from>
        <xdr:to>
          <xdr:col>27</xdr:col>
          <xdr:colOff>342900</xdr:colOff>
          <xdr:row>55</xdr:row>
          <xdr:rowOff>266700</xdr:rowOff>
        </xdr:to>
        <xdr:sp macro="" textlink="">
          <xdr:nvSpPr>
            <xdr:cNvPr id="5233" name="Check Box 1137" hidden="1">
              <a:extLst>
                <a:ext uri="{63B3BB69-23CF-44E3-9099-C40C66FF867C}">
                  <a14:compatExt spid="_x0000_s5233"/>
                </a:ext>
                <a:ext uri="{FF2B5EF4-FFF2-40B4-BE49-F238E27FC236}">
                  <a16:creationId xmlns:a16="http://schemas.microsoft.com/office/drawing/2014/main" id="{00000000-0008-0000-0000-00007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55</xdr:row>
          <xdr:rowOff>38100</xdr:rowOff>
        </xdr:from>
        <xdr:to>
          <xdr:col>28</xdr:col>
          <xdr:colOff>342900</xdr:colOff>
          <xdr:row>55</xdr:row>
          <xdr:rowOff>266700</xdr:rowOff>
        </xdr:to>
        <xdr:sp macro="" textlink="">
          <xdr:nvSpPr>
            <xdr:cNvPr id="5234" name="Check Box 1138" hidden="1">
              <a:extLst>
                <a:ext uri="{63B3BB69-23CF-44E3-9099-C40C66FF867C}">
                  <a14:compatExt spid="_x0000_s5234"/>
                </a:ext>
                <a:ext uri="{FF2B5EF4-FFF2-40B4-BE49-F238E27FC236}">
                  <a16:creationId xmlns:a16="http://schemas.microsoft.com/office/drawing/2014/main" id="{00000000-0008-0000-0000-00007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55</xdr:row>
          <xdr:rowOff>38100</xdr:rowOff>
        </xdr:from>
        <xdr:to>
          <xdr:col>29</xdr:col>
          <xdr:colOff>342900</xdr:colOff>
          <xdr:row>55</xdr:row>
          <xdr:rowOff>266700</xdr:rowOff>
        </xdr:to>
        <xdr:sp macro="" textlink="">
          <xdr:nvSpPr>
            <xdr:cNvPr id="5235" name="Check Box 1139" hidden="1">
              <a:extLst>
                <a:ext uri="{63B3BB69-23CF-44E3-9099-C40C66FF867C}">
                  <a14:compatExt spid="_x0000_s5235"/>
                </a:ext>
                <a:ext uri="{FF2B5EF4-FFF2-40B4-BE49-F238E27FC236}">
                  <a16:creationId xmlns:a16="http://schemas.microsoft.com/office/drawing/2014/main" id="{00000000-0008-0000-0000-00007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55</xdr:row>
          <xdr:rowOff>38100</xdr:rowOff>
        </xdr:from>
        <xdr:to>
          <xdr:col>30</xdr:col>
          <xdr:colOff>342900</xdr:colOff>
          <xdr:row>55</xdr:row>
          <xdr:rowOff>266700</xdr:rowOff>
        </xdr:to>
        <xdr:sp macro="" textlink="">
          <xdr:nvSpPr>
            <xdr:cNvPr id="5236" name="Check Box 1140" hidden="1">
              <a:extLst>
                <a:ext uri="{63B3BB69-23CF-44E3-9099-C40C66FF867C}">
                  <a14:compatExt spid="_x0000_s5236"/>
                </a:ext>
                <a:ext uri="{FF2B5EF4-FFF2-40B4-BE49-F238E27FC236}">
                  <a16:creationId xmlns:a16="http://schemas.microsoft.com/office/drawing/2014/main" id="{00000000-0008-0000-0000-00007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55</xdr:row>
          <xdr:rowOff>38100</xdr:rowOff>
        </xdr:from>
        <xdr:to>
          <xdr:col>31</xdr:col>
          <xdr:colOff>342900</xdr:colOff>
          <xdr:row>55</xdr:row>
          <xdr:rowOff>266700</xdr:rowOff>
        </xdr:to>
        <xdr:sp macro="" textlink="">
          <xdr:nvSpPr>
            <xdr:cNvPr id="5237" name="Check Box 1141" hidden="1">
              <a:extLst>
                <a:ext uri="{63B3BB69-23CF-44E3-9099-C40C66FF867C}">
                  <a14:compatExt spid="_x0000_s5237"/>
                </a:ext>
                <a:ext uri="{FF2B5EF4-FFF2-40B4-BE49-F238E27FC236}">
                  <a16:creationId xmlns:a16="http://schemas.microsoft.com/office/drawing/2014/main" id="{00000000-0008-0000-0000-00007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55</xdr:row>
          <xdr:rowOff>38100</xdr:rowOff>
        </xdr:from>
        <xdr:to>
          <xdr:col>32</xdr:col>
          <xdr:colOff>342900</xdr:colOff>
          <xdr:row>55</xdr:row>
          <xdr:rowOff>266700</xdr:rowOff>
        </xdr:to>
        <xdr:sp macro="" textlink="">
          <xdr:nvSpPr>
            <xdr:cNvPr id="5238" name="Check Box 1142" hidden="1">
              <a:extLst>
                <a:ext uri="{63B3BB69-23CF-44E3-9099-C40C66FF867C}">
                  <a14:compatExt spid="_x0000_s5238"/>
                </a:ext>
                <a:ext uri="{FF2B5EF4-FFF2-40B4-BE49-F238E27FC236}">
                  <a16:creationId xmlns:a16="http://schemas.microsoft.com/office/drawing/2014/main" id="{00000000-0008-0000-0000-00007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55</xdr:row>
          <xdr:rowOff>38100</xdr:rowOff>
        </xdr:from>
        <xdr:to>
          <xdr:col>33</xdr:col>
          <xdr:colOff>342900</xdr:colOff>
          <xdr:row>55</xdr:row>
          <xdr:rowOff>266700</xdr:rowOff>
        </xdr:to>
        <xdr:sp macro="" textlink="">
          <xdr:nvSpPr>
            <xdr:cNvPr id="5239" name="Check Box 1143" hidden="1">
              <a:extLst>
                <a:ext uri="{63B3BB69-23CF-44E3-9099-C40C66FF867C}">
                  <a14:compatExt spid="_x0000_s5239"/>
                </a:ext>
                <a:ext uri="{FF2B5EF4-FFF2-40B4-BE49-F238E27FC236}">
                  <a16:creationId xmlns:a16="http://schemas.microsoft.com/office/drawing/2014/main" id="{00000000-0008-0000-0000-00007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55</xdr:row>
          <xdr:rowOff>38100</xdr:rowOff>
        </xdr:from>
        <xdr:to>
          <xdr:col>34</xdr:col>
          <xdr:colOff>342900</xdr:colOff>
          <xdr:row>55</xdr:row>
          <xdr:rowOff>266700</xdr:rowOff>
        </xdr:to>
        <xdr:sp macro="" textlink="">
          <xdr:nvSpPr>
            <xdr:cNvPr id="5240" name="Check Box 1144" hidden="1">
              <a:extLst>
                <a:ext uri="{63B3BB69-23CF-44E3-9099-C40C66FF867C}">
                  <a14:compatExt spid="_x0000_s5240"/>
                </a:ext>
                <a:ext uri="{FF2B5EF4-FFF2-40B4-BE49-F238E27FC236}">
                  <a16:creationId xmlns:a16="http://schemas.microsoft.com/office/drawing/2014/main" id="{00000000-0008-0000-0000-00007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55</xdr:row>
          <xdr:rowOff>38100</xdr:rowOff>
        </xdr:from>
        <xdr:to>
          <xdr:col>35</xdr:col>
          <xdr:colOff>342900</xdr:colOff>
          <xdr:row>55</xdr:row>
          <xdr:rowOff>266700</xdr:rowOff>
        </xdr:to>
        <xdr:sp macro="" textlink="">
          <xdr:nvSpPr>
            <xdr:cNvPr id="5241" name="Check Box 1145" hidden="1">
              <a:extLst>
                <a:ext uri="{63B3BB69-23CF-44E3-9099-C40C66FF867C}">
                  <a14:compatExt spid="_x0000_s5241"/>
                </a:ext>
                <a:ext uri="{FF2B5EF4-FFF2-40B4-BE49-F238E27FC236}">
                  <a16:creationId xmlns:a16="http://schemas.microsoft.com/office/drawing/2014/main" id="{00000000-0008-0000-0000-00007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55</xdr:row>
          <xdr:rowOff>38100</xdr:rowOff>
        </xdr:from>
        <xdr:to>
          <xdr:col>36</xdr:col>
          <xdr:colOff>342900</xdr:colOff>
          <xdr:row>55</xdr:row>
          <xdr:rowOff>266700</xdr:rowOff>
        </xdr:to>
        <xdr:sp macro="" textlink="">
          <xdr:nvSpPr>
            <xdr:cNvPr id="5242" name="Check Box 1146" hidden="1">
              <a:extLst>
                <a:ext uri="{63B3BB69-23CF-44E3-9099-C40C66FF867C}">
                  <a14:compatExt spid="_x0000_s5242"/>
                </a:ext>
                <a:ext uri="{FF2B5EF4-FFF2-40B4-BE49-F238E27FC236}">
                  <a16:creationId xmlns:a16="http://schemas.microsoft.com/office/drawing/2014/main" id="{00000000-0008-0000-0000-00007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55</xdr:row>
          <xdr:rowOff>38100</xdr:rowOff>
        </xdr:from>
        <xdr:to>
          <xdr:col>37</xdr:col>
          <xdr:colOff>342900</xdr:colOff>
          <xdr:row>55</xdr:row>
          <xdr:rowOff>266700</xdr:rowOff>
        </xdr:to>
        <xdr:sp macro="" textlink="">
          <xdr:nvSpPr>
            <xdr:cNvPr id="5243" name="Check Box 1147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00000000-0008-0000-0000-00007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56</xdr:row>
          <xdr:rowOff>38100</xdr:rowOff>
        </xdr:from>
        <xdr:to>
          <xdr:col>7</xdr:col>
          <xdr:colOff>342900</xdr:colOff>
          <xdr:row>56</xdr:row>
          <xdr:rowOff>266700</xdr:rowOff>
        </xdr:to>
        <xdr:sp macro="" textlink="">
          <xdr:nvSpPr>
            <xdr:cNvPr id="5244" name="Check Box 1148" hidden="1">
              <a:extLst>
                <a:ext uri="{63B3BB69-23CF-44E3-9099-C40C66FF867C}">
                  <a14:compatExt spid="_x0000_s5244"/>
                </a:ext>
                <a:ext uri="{FF2B5EF4-FFF2-40B4-BE49-F238E27FC236}">
                  <a16:creationId xmlns:a16="http://schemas.microsoft.com/office/drawing/2014/main" id="{00000000-0008-0000-0000-00007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56</xdr:row>
          <xdr:rowOff>38100</xdr:rowOff>
        </xdr:from>
        <xdr:to>
          <xdr:col>8</xdr:col>
          <xdr:colOff>342900</xdr:colOff>
          <xdr:row>56</xdr:row>
          <xdr:rowOff>266700</xdr:rowOff>
        </xdr:to>
        <xdr:sp macro="" textlink="">
          <xdr:nvSpPr>
            <xdr:cNvPr id="5245" name="Check Box 1149" hidden="1">
              <a:extLst>
                <a:ext uri="{63B3BB69-23CF-44E3-9099-C40C66FF867C}">
                  <a14:compatExt spid="_x0000_s5245"/>
                </a:ext>
                <a:ext uri="{FF2B5EF4-FFF2-40B4-BE49-F238E27FC236}">
                  <a16:creationId xmlns:a16="http://schemas.microsoft.com/office/drawing/2014/main" id="{00000000-0008-0000-0000-00007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56</xdr:row>
          <xdr:rowOff>38100</xdr:rowOff>
        </xdr:from>
        <xdr:to>
          <xdr:col>9</xdr:col>
          <xdr:colOff>342900</xdr:colOff>
          <xdr:row>56</xdr:row>
          <xdr:rowOff>266700</xdr:rowOff>
        </xdr:to>
        <xdr:sp macro="" textlink="">
          <xdr:nvSpPr>
            <xdr:cNvPr id="5246" name="Check Box 1150" hidden="1">
              <a:extLst>
                <a:ext uri="{63B3BB69-23CF-44E3-9099-C40C66FF867C}">
                  <a14:compatExt spid="_x0000_s5246"/>
                </a:ext>
                <a:ext uri="{FF2B5EF4-FFF2-40B4-BE49-F238E27FC236}">
                  <a16:creationId xmlns:a16="http://schemas.microsoft.com/office/drawing/2014/main" id="{00000000-0008-0000-0000-00007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56</xdr:row>
          <xdr:rowOff>38100</xdr:rowOff>
        </xdr:from>
        <xdr:to>
          <xdr:col>10</xdr:col>
          <xdr:colOff>342900</xdr:colOff>
          <xdr:row>56</xdr:row>
          <xdr:rowOff>266700</xdr:rowOff>
        </xdr:to>
        <xdr:sp macro="" textlink="">
          <xdr:nvSpPr>
            <xdr:cNvPr id="5247" name="Check Box 1151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0000000-0008-0000-0000-00007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56</xdr:row>
          <xdr:rowOff>38100</xdr:rowOff>
        </xdr:from>
        <xdr:to>
          <xdr:col>11</xdr:col>
          <xdr:colOff>342900</xdr:colOff>
          <xdr:row>56</xdr:row>
          <xdr:rowOff>266700</xdr:rowOff>
        </xdr:to>
        <xdr:sp macro="" textlink="">
          <xdr:nvSpPr>
            <xdr:cNvPr id="5248" name="Check Box 1152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0000000-0008-0000-0000-00008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56</xdr:row>
          <xdr:rowOff>38100</xdr:rowOff>
        </xdr:from>
        <xdr:to>
          <xdr:col>12</xdr:col>
          <xdr:colOff>342900</xdr:colOff>
          <xdr:row>56</xdr:row>
          <xdr:rowOff>266700</xdr:rowOff>
        </xdr:to>
        <xdr:sp macro="" textlink="">
          <xdr:nvSpPr>
            <xdr:cNvPr id="5249" name="Check Box 1153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0000000-0008-0000-0000-00008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56</xdr:row>
          <xdr:rowOff>38100</xdr:rowOff>
        </xdr:from>
        <xdr:to>
          <xdr:col>13</xdr:col>
          <xdr:colOff>342900</xdr:colOff>
          <xdr:row>56</xdr:row>
          <xdr:rowOff>266700</xdr:rowOff>
        </xdr:to>
        <xdr:sp macro="" textlink="">
          <xdr:nvSpPr>
            <xdr:cNvPr id="5250" name="Check Box 1154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00000000-0008-0000-0000-00008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56</xdr:row>
          <xdr:rowOff>38100</xdr:rowOff>
        </xdr:from>
        <xdr:to>
          <xdr:col>14</xdr:col>
          <xdr:colOff>342900</xdr:colOff>
          <xdr:row>56</xdr:row>
          <xdr:rowOff>266700</xdr:rowOff>
        </xdr:to>
        <xdr:sp macro="" textlink="">
          <xdr:nvSpPr>
            <xdr:cNvPr id="5251" name="Check Box 1155" hidden="1">
              <a:extLst>
                <a:ext uri="{63B3BB69-23CF-44E3-9099-C40C66FF867C}">
                  <a14:compatExt spid="_x0000_s5251"/>
                </a:ext>
                <a:ext uri="{FF2B5EF4-FFF2-40B4-BE49-F238E27FC236}">
                  <a16:creationId xmlns:a16="http://schemas.microsoft.com/office/drawing/2014/main" id="{00000000-0008-0000-0000-00008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56</xdr:row>
          <xdr:rowOff>38100</xdr:rowOff>
        </xdr:from>
        <xdr:to>
          <xdr:col>15</xdr:col>
          <xdr:colOff>342900</xdr:colOff>
          <xdr:row>56</xdr:row>
          <xdr:rowOff>266700</xdr:rowOff>
        </xdr:to>
        <xdr:sp macro="" textlink="">
          <xdr:nvSpPr>
            <xdr:cNvPr id="5252" name="Check Box 1156" hidden="1">
              <a:extLst>
                <a:ext uri="{63B3BB69-23CF-44E3-9099-C40C66FF867C}">
                  <a14:compatExt spid="_x0000_s5252"/>
                </a:ext>
                <a:ext uri="{FF2B5EF4-FFF2-40B4-BE49-F238E27FC236}">
                  <a16:creationId xmlns:a16="http://schemas.microsoft.com/office/drawing/2014/main" id="{00000000-0008-0000-0000-00008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56</xdr:row>
          <xdr:rowOff>38100</xdr:rowOff>
        </xdr:from>
        <xdr:to>
          <xdr:col>16</xdr:col>
          <xdr:colOff>342900</xdr:colOff>
          <xdr:row>56</xdr:row>
          <xdr:rowOff>266700</xdr:rowOff>
        </xdr:to>
        <xdr:sp macro="" textlink="">
          <xdr:nvSpPr>
            <xdr:cNvPr id="5253" name="Check Box 1157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00000000-0008-0000-0000-00008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56</xdr:row>
          <xdr:rowOff>38100</xdr:rowOff>
        </xdr:from>
        <xdr:to>
          <xdr:col>17</xdr:col>
          <xdr:colOff>342900</xdr:colOff>
          <xdr:row>56</xdr:row>
          <xdr:rowOff>266700</xdr:rowOff>
        </xdr:to>
        <xdr:sp macro="" textlink="">
          <xdr:nvSpPr>
            <xdr:cNvPr id="5254" name="Check Box 1158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00000000-0008-0000-0000-00008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56</xdr:row>
          <xdr:rowOff>38100</xdr:rowOff>
        </xdr:from>
        <xdr:to>
          <xdr:col>18</xdr:col>
          <xdr:colOff>342900</xdr:colOff>
          <xdr:row>56</xdr:row>
          <xdr:rowOff>266700</xdr:rowOff>
        </xdr:to>
        <xdr:sp macro="" textlink="">
          <xdr:nvSpPr>
            <xdr:cNvPr id="5255" name="Check Box 1159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00000000-0008-0000-0000-00008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56</xdr:row>
          <xdr:rowOff>38100</xdr:rowOff>
        </xdr:from>
        <xdr:to>
          <xdr:col>19</xdr:col>
          <xdr:colOff>342900</xdr:colOff>
          <xdr:row>56</xdr:row>
          <xdr:rowOff>266700</xdr:rowOff>
        </xdr:to>
        <xdr:sp macro="" textlink="">
          <xdr:nvSpPr>
            <xdr:cNvPr id="5256" name="Check Box 1160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00000000-0008-0000-0000-00008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56</xdr:row>
          <xdr:rowOff>38100</xdr:rowOff>
        </xdr:from>
        <xdr:to>
          <xdr:col>20</xdr:col>
          <xdr:colOff>342900</xdr:colOff>
          <xdr:row>56</xdr:row>
          <xdr:rowOff>266700</xdr:rowOff>
        </xdr:to>
        <xdr:sp macro="" textlink="">
          <xdr:nvSpPr>
            <xdr:cNvPr id="5257" name="Check Box 1161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00000000-0008-0000-0000-00008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56</xdr:row>
          <xdr:rowOff>38100</xdr:rowOff>
        </xdr:from>
        <xdr:to>
          <xdr:col>21</xdr:col>
          <xdr:colOff>342900</xdr:colOff>
          <xdr:row>56</xdr:row>
          <xdr:rowOff>266700</xdr:rowOff>
        </xdr:to>
        <xdr:sp macro="" textlink="">
          <xdr:nvSpPr>
            <xdr:cNvPr id="5258" name="Check Box 1162" hidden="1">
              <a:extLst>
                <a:ext uri="{63B3BB69-23CF-44E3-9099-C40C66FF867C}">
                  <a14:compatExt spid="_x0000_s5258"/>
                </a:ext>
                <a:ext uri="{FF2B5EF4-FFF2-40B4-BE49-F238E27FC236}">
                  <a16:creationId xmlns:a16="http://schemas.microsoft.com/office/drawing/2014/main" id="{00000000-0008-0000-0000-00008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56</xdr:row>
          <xdr:rowOff>38100</xdr:rowOff>
        </xdr:from>
        <xdr:to>
          <xdr:col>22</xdr:col>
          <xdr:colOff>342900</xdr:colOff>
          <xdr:row>56</xdr:row>
          <xdr:rowOff>266700</xdr:rowOff>
        </xdr:to>
        <xdr:sp macro="" textlink="">
          <xdr:nvSpPr>
            <xdr:cNvPr id="5259" name="Check Box 1163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00000000-0008-0000-0000-00008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56</xdr:row>
          <xdr:rowOff>38100</xdr:rowOff>
        </xdr:from>
        <xdr:to>
          <xdr:col>23</xdr:col>
          <xdr:colOff>342900</xdr:colOff>
          <xdr:row>56</xdr:row>
          <xdr:rowOff>266700</xdr:rowOff>
        </xdr:to>
        <xdr:sp macro="" textlink="">
          <xdr:nvSpPr>
            <xdr:cNvPr id="5260" name="Check Box 1164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00000000-0008-0000-0000-00008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56</xdr:row>
          <xdr:rowOff>38100</xdr:rowOff>
        </xdr:from>
        <xdr:to>
          <xdr:col>24</xdr:col>
          <xdr:colOff>342900</xdr:colOff>
          <xdr:row>56</xdr:row>
          <xdr:rowOff>266700</xdr:rowOff>
        </xdr:to>
        <xdr:sp macro="" textlink="">
          <xdr:nvSpPr>
            <xdr:cNvPr id="5261" name="Check Box 1165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00000000-0008-0000-0000-00008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56</xdr:row>
          <xdr:rowOff>38100</xdr:rowOff>
        </xdr:from>
        <xdr:to>
          <xdr:col>25</xdr:col>
          <xdr:colOff>342900</xdr:colOff>
          <xdr:row>56</xdr:row>
          <xdr:rowOff>266700</xdr:rowOff>
        </xdr:to>
        <xdr:sp macro="" textlink="">
          <xdr:nvSpPr>
            <xdr:cNvPr id="5262" name="Check Box 1166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00000000-0008-0000-0000-00008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56</xdr:row>
          <xdr:rowOff>38100</xdr:rowOff>
        </xdr:from>
        <xdr:to>
          <xdr:col>26</xdr:col>
          <xdr:colOff>342900</xdr:colOff>
          <xdr:row>56</xdr:row>
          <xdr:rowOff>266700</xdr:rowOff>
        </xdr:to>
        <xdr:sp macro="" textlink="">
          <xdr:nvSpPr>
            <xdr:cNvPr id="5263" name="Check Box 1167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00000000-0008-0000-0000-00008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56</xdr:row>
          <xdr:rowOff>38100</xdr:rowOff>
        </xdr:from>
        <xdr:to>
          <xdr:col>27</xdr:col>
          <xdr:colOff>342900</xdr:colOff>
          <xdr:row>56</xdr:row>
          <xdr:rowOff>266700</xdr:rowOff>
        </xdr:to>
        <xdr:sp macro="" textlink="">
          <xdr:nvSpPr>
            <xdr:cNvPr id="5264" name="Check Box 1168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00000000-0008-0000-0000-00009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56</xdr:row>
          <xdr:rowOff>38100</xdr:rowOff>
        </xdr:from>
        <xdr:to>
          <xdr:col>28</xdr:col>
          <xdr:colOff>342900</xdr:colOff>
          <xdr:row>56</xdr:row>
          <xdr:rowOff>266700</xdr:rowOff>
        </xdr:to>
        <xdr:sp macro="" textlink="">
          <xdr:nvSpPr>
            <xdr:cNvPr id="5265" name="Check Box 1169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00000000-0008-0000-0000-00009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56</xdr:row>
          <xdr:rowOff>38100</xdr:rowOff>
        </xdr:from>
        <xdr:to>
          <xdr:col>29</xdr:col>
          <xdr:colOff>342900</xdr:colOff>
          <xdr:row>56</xdr:row>
          <xdr:rowOff>266700</xdr:rowOff>
        </xdr:to>
        <xdr:sp macro="" textlink="">
          <xdr:nvSpPr>
            <xdr:cNvPr id="5266" name="Check Box 1170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00000000-0008-0000-0000-00009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56</xdr:row>
          <xdr:rowOff>38100</xdr:rowOff>
        </xdr:from>
        <xdr:to>
          <xdr:col>30</xdr:col>
          <xdr:colOff>342900</xdr:colOff>
          <xdr:row>56</xdr:row>
          <xdr:rowOff>266700</xdr:rowOff>
        </xdr:to>
        <xdr:sp macro="" textlink="">
          <xdr:nvSpPr>
            <xdr:cNvPr id="5267" name="Check Box 1171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00000000-0008-0000-0000-00009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56</xdr:row>
          <xdr:rowOff>38100</xdr:rowOff>
        </xdr:from>
        <xdr:to>
          <xdr:col>31</xdr:col>
          <xdr:colOff>342900</xdr:colOff>
          <xdr:row>56</xdr:row>
          <xdr:rowOff>266700</xdr:rowOff>
        </xdr:to>
        <xdr:sp macro="" textlink="">
          <xdr:nvSpPr>
            <xdr:cNvPr id="5268" name="Check Box 1172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00000000-0008-0000-0000-00009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56</xdr:row>
          <xdr:rowOff>38100</xdr:rowOff>
        </xdr:from>
        <xdr:to>
          <xdr:col>32</xdr:col>
          <xdr:colOff>342900</xdr:colOff>
          <xdr:row>56</xdr:row>
          <xdr:rowOff>266700</xdr:rowOff>
        </xdr:to>
        <xdr:sp macro="" textlink="">
          <xdr:nvSpPr>
            <xdr:cNvPr id="5269" name="Check Box 1173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00000000-0008-0000-0000-00009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56</xdr:row>
          <xdr:rowOff>38100</xdr:rowOff>
        </xdr:from>
        <xdr:to>
          <xdr:col>33</xdr:col>
          <xdr:colOff>342900</xdr:colOff>
          <xdr:row>56</xdr:row>
          <xdr:rowOff>266700</xdr:rowOff>
        </xdr:to>
        <xdr:sp macro="" textlink="">
          <xdr:nvSpPr>
            <xdr:cNvPr id="5270" name="Check Box 1174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00000000-0008-0000-0000-00009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56</xdr:row>
          <xdr:rowOff>38100</xdr:rowOff>
        </xdr:from>
        <xdr:to>
          <xdr:col>34</xdr:col>
          <xdr:colOff>342900</xdr:colOff>
          <xdr:row>56</xdr:row>
          <xdr:rowOff>266700</xdr:rowOff>
        </xdr:to>
        <xdr:sp macro="" textlink="">
          <xdr:nvSpPr>
            <xdr:cNvPr id="5271" name="Check Box 1175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00000000-0008-0000-0000-00009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56</xdr:row>
          <xdr:rowOff>38100</xdr:rowOff>
        </xdr:from>
        <xdr:to>
          <xdr:col>35</xdr:col>
          <xdr:colOff>342900</xdr:colOff>
          <xdr:row>56</xdr:row>
          <xdr:rowOff>266700</xdr:rowOff>
        </xdr:to>
        <xdr:sp macro="" textlink="">
          <xdr:nvSpPr>
            <xdr:cNvPr id="5272" name="Check Box 1176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00000000-0008-0000-0000-00009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56</xdr:row>
          <xdr:rowOff>38100</xdr:rowOff>
        </xdr:from>
        <xdr:to>
          <xdr:col>36</xdr:col>
          <xdr:colOff>342900</xdr:colOff>
          <xdr:row>56</xdr:row>
          <xdr:rowOff>266700</xdr:rowOff>
        </xdr:to>
        <xdr:sp macro="" textlink="">
          <xdr:nvSpPr>
            <xdr:cNvPr id="5273" name="Check Box 1177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00000000-0008-0000-0000-00009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56</xdr:row>
          <xdr:rowOff>38100</xdr:rowOff>
        </xdr:from>
        <xdr:to>
          <xdr:col>37</xdr:col>
          <xdr:colOff>342900</xdr:colOff>
          <xdr:row>56</xdr:row>
          <xdr:rowOff>266700</xdr:rowOff>
        </xdr:to>
        <xdr:sp macro="" textlink="">
          <xdr:nvSpPr>
            <xdr:cNvPr id="5274" name="Check Box 1178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00000000-0008-0000-0000-00009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57</xdr:row>
          <xdr:rowOff>38100</xdr:rowOff>
        </xdr:from>
        <xdr:to>
          <xdr:col>7</xdr:col>
          <xdr:colOff>342900</xdr:colOff>
          <xdr:row>57</xdr:row>
          <xdr:rowOff>266700</xdr:rowOff>
        </xdr:to>
        <xdr:sp macro="" textlink="">
          <xdr:nvSpPr>
            <xdr:cNvPr id="5275" name="Check Box 1179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00000000-0008-0000-0000-00009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57</xdr:row>
          <xdr:rowOff>38100</xdr:rowOff>
        </xdr:from>
        <xdr:to>
          <xdr:col>8</xdr:col>
          <xdr:colOff>342900</xdr:colOff>
          <xdr:row>57</xdr:row>
          <xdr:rowOff>266700</xdr:rowOff>
        </xdr:to>
        <xdr:sp macro="" textlink="">
          <xdr:nvSpPr>
            <xdr:cNvPr id="5276" name="Check Box 1180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00000000-0008-0000-0000-00009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57</xdr:row>
          <xdr:rowOff>38100</xdr:rowOff>
        </xdr:from>
        <xdr:to>
          <xdr:col>9</xdr:col>
          <xdr:colOff>342900</xdr:colOff>
          <xdr:row>57</xdr:row>
          <xdr:rowOff>266700</xdr:rowOff>
        </xdr:to>
        <xdr:sp macro="" textlink="">
          <xdr:nvSpPr>
            <xdr:cNvPr id="5277" name="Check Box 1181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00000000-0008-0000-0000-00009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57</xdr:row>
          <xdr:rowOff>38100</xdr:rowOff>
        </xdr:from>
        <xdr:to>
          <xdr:col>10</xdr:col>
          <xdr:colOff>342900</xdr:colOff>
          <xdr:row>57</xdr:row>
          <xdr:rowOff>266700</xdr:rowOff>
        </xdr:to>
        <xdr:sp macro="" textlink="">
          <xdr:nvSpPr>
            <xdr:cNvPr id="5278" name="Check Box 1182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00000000-0008-0000-0000-00009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57</xdr:row>
          <xdr:rowOff>38100</xdr:rowOff>
        </xdr:from>
        <xdr:to>
          <xdr:col>11</xdr:col>
          <xdr:colOff>342900</xdr:colOff>
          <xdr:row>57</xdr:row>
          <xdr:rowOff>266700</xdr:rowOff>
        </xdr:to>
        <xdr:sp macro="" textlink="">
          <xdr:nvSpPr>
            <xdr:cNvPr id="5279" name="Check Box 1183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00000000-0008-0000-0000-00009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57</xdr:row>
          <xdr:rowOff>38100</xdr:rowOff>
        </xdr:from>
        <xdr:to>
          <xdr:col>12</xdr:col>
          <xdr:colOff>342900</xdr:colOff>
          <xdr:row>57</xdr:row>
          <xdr:rowOff>266700</xdr:rowOff>
        </xdr:to>
        <xdr:sp macro="" textlink="">
          <xdr:nvSpPr>
            <xdr:cNvPr id="5280" name="Check Box 1184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00000000-0008-0000-0000-0000A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57</xdr:row>
          <xdr:rowOff>38100</xdr:rowOff>
        </xdr:from>
        <xdr:to>
          <xdr:col>13</xdr:col>
          <xdr:colOff>342900</xdr:colOff>
          <xdr:row>57</xdr:row>
          <xdr:rowOff>266700</xdr:rowOff>
        </xdr:to>
        <xdr:sp macro="" textlink="">
          <xdr:nvSpPr>
            <xdr:cNvPr id="5281" name="Check Box 1185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00000000-0008-0000-0000-0000A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57</xdr:row>
          <xdr:rowOff>38100</xdr:rowOff>
        </xdr:from>
        <xdr:to>
          <xdr:col>14</xdr:col>
          <xdr:colOff>342900</xdr:colOff>
          <xdr:row>57</xdr:row>
          <xdr:rowOff>266700</xdr:rowOff>
        </xdr:to>
        <xdr:sp macro="" textlink="">
          <xdr:nvSpPr>
            <xdr:cNvPr id="5282" name="Check Box 1186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00000000-0008-0000-0000-0000A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57</xdr:row>
          <xdr:rowOff>38100</xdr:rowOff>
        </xdr:from>
        <xdr:to>
          <xdr:col>15</xdr:col>
          <xdr:colOff>342900</xdr:colOff>
          <xdr:row>57</xdr:row>
          <xdr:rowOff>266700</xdr:rowOff>
        </xdr:to>
        <xdr:sp macro="" textlink="">
          <xdr:nvSpPr>
            <xdr:cNvPr id="5283" name="Check Box 1187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00000000-0008-0000-0000-0000A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57</xdr:row>
          <xdr:rowOff>38100</xdr:rowOff>
        </xdr:from>
        <xdr:to>
          <xdr:col>16</xdr:col>
          <xdr:colOff>342900</xdr:colOff>
          <xdr:row>57</xdr:row>
          <xdr:rowOff>266700</xdr:rowOff>
        </xdr:to>
        <xdr:sp macro="" textlink="">
          <xdr:nvSpPr>
            <xdr:cNvPr id="5284" name="Check Box 1188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00000000-0008-0000-0000-0000A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57</xdr:row>
          <xdr:rowOff>38100</xdr:rowOff>
        </xdr:from>
        <xdr:to>
          <xdr:col>17</xdr:col>
          <xdr:colOff>342900</xdr:colOff>
          <xdr:row>57</xdr:row>
          <xdr:rowOff>266700</xdr:rowOff>
        </xdr:to>
        <xdr:sp macro="" textlink="">
          <xdr:nvSpPr>
            <xdr:cNvPr id="5285" name="Check Box 1189" hidden="1">
              <a:extLst>
                <a:ext uri="{63B3BB69-23CF-44E3-9099-C40C66FF867C}">
                  <a14:compatExt spid="_x0000_s5285"/>
                </a:ext>
                <a:ext uri="{FF2B5EF4-FFF2-40B4-BE49-F238E27FC236}">
                  <a16:creationId xmlns:a16="http://schemas.microsoft.com/office/drawing/2014/main" id="{00000000-0008-0000-0000-0000A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57</xdr:row>
          <xdr:rowOff>38100</xdr:rowOff>
        </xdr:from>
        <xdr:to>
          <xdr:col>18</xdr:col>
          <xdr:colOff>342900</xdr:colOff>
          <xdr:row>57</xdr:row>
          <xdr:rowOff>266700</xdr:rowOff>
        </xdr:to>
        <xdr:sp macro="" textlink="">
          <xdr:nvSpPr>
            <xdr:cNvPr id="5286" name="Check Box 1190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00000000-0008-0000-0000-0000A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57</xdr:row>
          <xdr:rowOff>38100</xdr:rowOff>
        </xdr:from>
        <xdr:to>
          <xdr:col>19</xdr:col>
          <xdr:colOff>342900</xdr:colOff>
          <xdr:row>57</xdr:row>
          <xdr:rowOff>266700</xdr:rowOff>
        </xdr:to>
        <xdr:sp macro="" textlink="">
          <xdr:nvSpPr>
            <xdr:cNvPr id="5287" name="Check Box 1191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00000000-0008-0000-0000-0000A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57</xdr:row>
          <xdr:rowOff>38100</xdr:rowOff>
        </xdr:from>
        <xdr:to>
          <xdr:col>20</xdr:col>
          <xdr:colOff>342900</xdr:colOff>
          <xdr:row>57</xdr:row>
          <xdr:rowOff>266700</xdr:rowOff>
        </xdr:to>
        <xdr:sp macro="" textlink="">
          <xdr:nvSpPr>
            <xdr:cNvPr id="5288" name="Check Box 1192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00000000-0008-0000-0000-0000A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57</xdr:row>
          <xdr:rowOff>38100</xdr:rowOff>
        </xdr:from>
        <xdr:to>
          <xdr:col>21</xdr:col>
          <xdr:colOff>342900</xdr:colOff>
          <xdr:row>57</xdr:row>
          <xdr:rowOff>266700</xdr:rowOff>
        </xdr:to>
        <xdr:sp macro="" textlink="">
          <xdr:nvSpPr>
            <xdr:cNvPr id="5289" name="Check Box 1193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00000000-0008-0000-0000-0000A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57</xdr:row>
          <xdr:rowOff>38100</xdr:rowOff>
        </xdr:from>
        <xdr:to>
          <xdr:col>22</xdr:col>
          <xdr:colOff>342900</xdr:colOff>
          <xdr:row>57</xdr:row>
          <xdr:rowOff>266700</xdr:rowOff>
        </xdr:to>
        <xdr:sp macro="" textlink="">
          <xdr:nvSpPr>
            <xdr:cNvPr id="5290" name="Check Box 1194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00000000-0008-0000-0000-0000A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57</xdr:row>
          <xdr:rowOff>38100</xdr:rowOff>
        </xdr:from>
        <xdr:to>
          <xdr:col>23</xdr:col>
          <xdr:colOff>342900</xdr:colOff>
          <xdr:row>57</xdr:row>
          <xdr:rowOff>266700</xdr:rowOff>
        </xdr:to>
        <xdr:sp macro="" textlink="">
          <xdr:nvSpPr>
            <xdr:cNvPr id="5291" name="Check Box 1195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00000000-0008-0000-0000-0000A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57</xdr:row>
          <xdr:rowOff>38100</xdr:rowOff>
        </xdr:from>
        <xdr:to>
          <xdr:col>24</xdr:col>
          <xdr:colOff>342900</xdr:colOff>
          <xdr:row>57</xdr:row>
          <xdr:rowOff>266700</xdr:rowOff>
        </xdr:to>
        <xdr:sp macro="" textlink="">
          <xdr:nvSpPr>
            <xdr:cNvPr id="5292" name="Check Box 1196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00000000-0008-0000-0000-0000A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57</xdr:row>
          <xdr:rowOff>38100</xdr:rowOff>
        </xdr:from>
        <xdr:to>
          <xdr:col>25</xdr:col>
          <xdr:colOff>342900</xdr:colOff>
          <xdr:row>57</xdr:row>
          <xdr:rowOff>266700</xdr:rowOff>
        </xdr:to>
        <xdr:sp macro="" textlink="">
          <xdr:nvSpPr>
            <xdr:cNvPr id="5293" name="Check Box 1197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00000000-0008-0000-0000-0000A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57</xdr:row>
          <xdr:rowOff>38100</xdr:rowOff>
        </xdr:from>
        <xdr:to>
          <xdr:col>26</xdr:col>
          <xdr:colOff>342900</xdr:colOff>
          <xdr:row>57</xdr:row>
          <xdr:rowOff>266700</xdr:rowOff>
        </xdr:to>
        <xdr:sp macro="" textlink="">
          <xdr:nvSpPr>
            <xdr:cNvPr id="5294" name="Check Box 1198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00000000-0008-0000-0000-0000A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57</xdr:row>
          <xdr:rowOff>38100</xdr:rowOff>
        </xdr:from>
        <xdr:to>
          <xdr:col>27</xdr:col>
          <xdr:colOff>342900</xdr:colOff>
          <xdr:row>57</xdr:row>
          <xdr:rowOff>266700</xdr:rowOff>
        </xdr:to>
        <xdr:sp macro="" textlink="">
          <xdr:nvSpPr>
            <xdr:cNvPr id="5295" name="Check Box 1199" hidden="1">
              <a:extLst>
                <a:ext uri="{63B3BB69-23CF-44E3-9099-C40C66FF867C}">
                  <a14:compatExt spid="_x0000_s5295"/>
                </a:ext>
                <a:ext uri="{FF2B5EF4-FFF2-40B4-BE49-F238E27FC236}">
                  <a16:creationId xmlns:a16="http://schemas.microsoft.com/office/drawing/2014/main" id="{00000000-0008-0000-0000-0000A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57</xdr:row>
          <xdr:rowOff>38100</xdr:rowOff>
        </xdr:from>
        <xdr:to>
          <xdr:col>28</xdr:col>
          <xdr:colOff>342900</xdr:colOff>
          <xdr:row>57</xdr:row>
          <xdr:rowOff>266700</xdr:rowOff>
        </xdr:to>
        <xdr:sp macro="" textlink="">
          <xdr:nvSpPr>
            <xdr:cNvPr id="5296" name="Check Box 1200" hidden="1">
              <a:extLst>
                <a:ext uri="{63B3BB69-23CF-44E3-9099-C40C66FF867C}">
                  <a14:compatExt spid="_x0000_s5296"/>
                </a:ext>
                <a:ext uri="{FF2B5EF4-FFF2-40B4-BE49-F238E27FC236}">
                  <a16:creationId xmlns:a16="http://schemas.microsoft.com/office/drawing/2014/main" id="{00000000-0008-0000-0000-0000B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57</xdr:row>
          <xdr:rowOff>38100</xdr:rowOff>
        </xdr:from>
        <xdr:to>
          <xdr:col>29</xdr:col>
          <xdr:colOff>342900</xdr:colOff>
          <xdr:row>57</xdr:row>
          <xdr:rowOff>266700</xdr:rowOff>
        </xdr:to>
        <xdr:sp macro="" textlink="">
          <xdr:nvSpPr>
            <xdr:cNvPr id="5297" name="Check Box 1201" hidden="1">
              <a:extLst>
                <a:ext uri="{63B3BB69-23CF-44E3-9099-C40C66FF867C}">
                  <a14:compatExt spid="_x0000_s5297"/>
                </a:ext>
                <a:ext uri="{FF2B5EF4-FFF2-40B4-BE49-F238E27FC236}">
                  <a16:creationId xmlns:a16="http://schemas.microsoft.com/office/drawing/2014/main" id="{00000000-0008-0000-0000-0000B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57</xdr:row>
          <xdr:rowOff>38100</xdr:rowOff>
        </xdr:from>
        <xdr:to>
          <xdr:col>30</xdr:col>
          <xdr:colOff>342900</xdr:colOff>
          <xdr:row>57</xdr:row>
          <xdr:rowOff>266700</xdr:rowOff>
        </xdr:to>
        <xdr:sp macro="" textlink="">
          <xdr:nvSpPr>
            <xdr:cNvPr id="5298" name="Check Box 1202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00000000-0008-0000-0000-0000B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57</xdr:row>
          <xdr:rowOff>38100</xdr:rowOff>
        </xdr:from>
        <xdr:to>
          <xdr:col>31</xdr:col>
          <xdr:colOff>342900</xdr:colOff>
          <xdr:row>57</xdr:row>
          <xdr:rowOff>266700</xdr:rowOff>
        </xdr:to>
        <xdr:sp macro="" textlink="">
          <xdr:nvSpPr>
            <xdr:cNvPr id="5299" name="Check Box 1203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00000000-0008-0000-0000-0000B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57</xdr:row>
          <xdr:rowOff>38100</xdr:rowOff>
        </xdr:from>
        <xdr:to>
          <xdr:col>32</xdr:col>
          <xdr:colOff>342900</xdr:colOff>
          <xdr:row>57</xdr:row>
          <xdr:rowOff>266700</xdr:rowOff>
        </xdr:to>
        <xdr:sp macro="" textlink="">
          <xdr:nvSpPr>
            <xdr:cNvPr id="5300" name="Check Box 1204" hidden="1">
              <a:extLst>
                <a:ext uri="{63B3BB69-23CF-44E3-9099-C40C66FF867C}">
                  <a14:compatExt spid="_x0000_s5300"/>
                </a:ext>
                <a:ext uri="{FF2B5EF4-FFF2-40B4-BE49-F238E27FC236}">
                  <a16:creationId xmlns:a16="http://schemas.microsoft.com/office/drawing/2014/main" id="{00000000-0008-0000-0000-0000B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57</xdr:row>
          <xdr:rowOff>38100</xdr:rowOff>
        </xdr:from>
        <xdr:to>
          <xdr:col>33</xdr:col>
          <xdr:colOff>342900</xdr:colOff>
          <xdr:row>57</xdr:row>
          <xdr:rowOff>266700</xdr:rowOff>
        </xdr:to>
        <xdr:sp macro="" textlink="">
          <xdr:nvSpPr>
            <xdr:cNvPr id="5301" name="Check Box 1205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00000000-0008-0000-0000-0000B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57</xdr:row>
          <xdr:rowOff>38100</xdr:rowOff>
        </xdr:from>
        <xdr:to>
          <xdr:col>34</xdr:col>
          <xdr:colOff>342900</xdr:colOff>
          <xdr:row>57</xdr:row>
          <xdr:rowOff>266700</xdr:rowOff>
        </xdr:to>
        <xdr:sp macro="" textlink="">
          <xdr:nvSpPr>
            <xdr:cNvPr id="5302" name="Check Box 1206" hidden="1">
              <a:extLst>
                <a:ext uri="{63B3BB69-23CF-44E3-9099-C40C66FF867C}">
                  <a14:compatExt spid="_x0000_s5302"/>
                </a:ext>
                <a:ext uri="{FF2B5EF4-FFF2-40B4-BE49-F238E27FC236}">
                  <a16:creationId xmlns:a16="http://schemas.microsoft.com/office/drawing/2014/main" id="{00000000-0008-0000-0000-0000B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57</xdr:row>
          <xdr:rowOff>38100</xdr:rowOff>
        </xdr:from>
        <xdr:to>
          <xdr:col>35</xdr:col>
          <xdr:colOff>342900</xdr:colOff>
          <xdr:row>57</xdr:row>
          <xdr:rowOff>266700</xdr:rowOff>
        </xdr:to>
        <xdr:sp macro="" textlink="">
          <xdr:nvSpPr>
            <xdr:cNvPr id="5303" name="Check Box 1207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00000000-0008-0000-0000-0000B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57</xdr:row>
          <xdr:rowOff>38100</xdr:rowOff>
        </xdr:from>
        <xdr:to>
          <xdr:col>36</xdr:col>
          <xdr:colOff>342900</xdr:colOff>
          <xdr:row>57</xdr:row>
          <xdr:rowOff>266700</xdr:rowOff>
        </xdr:to>
        <xdr:sp macro="" textlink="">
          <xdr:nvSpPr>
            <xdr:cNvPr id="5304" name="Check Box 1208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00000000-0008-0000-0000-0000B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57</xdr:row>
          <xdr:rowOff>38100</xdr:rowOff>
        </xdr:from>
        <xdr:to>
          <xdr:col>37</xdr:col>
          <xdr:colOff>342900</xdr:colOff>
          <xdr:row>57</xdr:row>
          <xdr:rowOff>266700</xdr:rowOff>
        </xdr:to>
        <xdr:sp macro="" textlink="">
          <xdr:nvSpPr>
            <xdr:cNvPr id="5305" name="Check Box 1209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00000000-0008-0000-0000-0000B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58</xdr:row>
          <xdr:rowOff>38100</xdr:rowOff>
        </xdr:from>
        <xdr:to>
          <xdr:col>7</xdr:col>
          <xdr:colOff>342900</xdr:colOff>
          <xdr:row>58</xdr:row>
          <xdr:rowOff>266700</xdr:rowOff>
        </xdr:to>
        <xdr:sp macro="" textlink="">
          <xdr:nvSpPr>
            <xdr:cNvPr id="5306" name="Check Box 1210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00000000-0008-0000-0000-0000B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58</xdr:row>
          <xdr:rowOff>38100</xdr:rowOff>
        </xdr:from>
        <xdr:to>
          <xdr:col>8</xdr:col>
          <xdr:colOff>342900</xdr:colOff>
          <xdr:row>58</xdr:row>
          <xdr:rowOff>266700</xdr:rowOff>
        </xdr:to>
        <xdr:sp macro="" textlink="">
          <xdr:nvSpPr>
            <xdr:cNvPr id="5307" name="Check Box 1211" hidden="1">
              <a:extLst>
                <a:ext uri="{63B3BB69-23CF-44E3-9099-C40C66FF867C}">
                  <a14:compatExt spid="_x0000_s5307"/>
                </a:ext>
                <a:ext uri="{FF2B5EF4-FFF2-40B4-BE49-F238E27FC236}">
                  <a16:creationId xmlns:a16="http://schemas.microsoft.com/office/drawing/2014/main" id="{00000000-0008-0000-0000-0000B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58</xdr:row>
          <xdr:rowOff>38100</xdr:rowOff>
        </xdr:from>
        <xdr:to>
          <xdr:col>9</xdr:col>
          <xdr:colOff>342900</xdr:colOff>
          <xdr:row>58</xdr:row>
          <xdr:rowOff>266700</xdr:rowOff>
        </xdr:to>
        <xdr:sp macro="" textlink="">
          <xdr:nvSpPr>
            <xdr:cNvPr id="5308" name="Check Box 1212" hidden="1">
              <a:extLst>
                <a:ext uri="{63B3BB69-23CF-44E3-9099-C40C66FF867C}">
                  <a14:compatExt spid="_x0000_s5308"/>
                </a:ext>
                <a:ext uri="{FF2B5EF4-FFF2-40B4-BE49-F238E27FC236}">
                  <a16:creationId xmlns:a16="http://schemas.microsoft.com/office/drawing/2014/main" id="{00000000-0008-0000-0000-0000B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58</xdr:row>
          <xdr:rowOff>38100</xdr:rowOff>
        </xdr:from>
        <xdr:to>
          <xdr:col>10</xdr:col>
          <xdr:colOff>342900</xdr:colOff>
          <xdr:row>58</xdr:row>
          <xdr:rowOff>266700</xdr:rowOff>
        </xdr:to>
        <xdr:sp macro="" textlink="">
          <xdr:nvSpPr>
            <xdr:cNvPr id="5309" name="Check Box 1213" hidden="1">
              <a:extLst>
                <a:ext uri="{63B3BB69-23CF-44E3-9099-C40C66FF867C}">
                  <a14:compatExt spid="_x0000_s5309"/>
                </a:ext>
                <a:ext uri="{FF2B5EF4-FFF2-40B4-BE49-F238E27FC236}">
                  <a16:creationId xmlns:a16="http://schemas.microsoft.com/office/drawing/2014/main" id="{00000000-0008-0000-0000-0000B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58</xdr:row>
          <xdr:rowOff>38100</xdr:rowOff>
        </xdr:from>
        <xdr:to>
          <xdr:col>11</xdr:col>
          <xdr:colOff>342900</xdr:colOff>
          <xdr:row>58</xdr:row>
          <xdr:rowOff>266700</xdr:rowOff>
        </xdr:to>
        <xdr:sp macro="" textlink="">
          <xdr:nvSpPr>
            <xdr:cNvPr id="5310" name="Check Box 1214" hidden="1">
              <a:extLst>
                <a:ext uri="{63B3BB69-23CF-44E3-9099-C40C66FF867C}">
                  <a14:compatExt spid="_x0000_s5310"/>
                </a:ext>
                <a:ext uri="{FF2B5EF4-FFF2-40B4-BE49-F238E27FC236}">
                  <a16:creationId xmlns:a16="http://schemas.microsoft.com/office/drawing/2014/main" id="{00000000-0008-0000-0000-0000B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58</xdr:row>
          <xdr:rowOff>38100</xdr:rowOff>
        </xdr:from>
        <xdr:to>
          <xdr:col>12</xdr:col>
          <xdr:colOff>342900</xdr:colOff>
          <xdr:row>58</xdr:row>
          <xdr:rowOff>266700</xdr:rowOff>
        </xdr:to>
        <xdr:sp macro="" textlink="">
          <xdr:nvSpPr>
            <xdr:cNvPr id="5311" name="Check Box 1215" hidden="1">
              <a:extLst>
                <a:ext uri="{63B3BB69-23CF-44E3-9099-C40C66FF867C}">
                  <a14:compatExt spid="_x0000_s5311"/>
                </a:ext>
                <a:ext uri="{FF2B5EF4-FFF2-40B4-BE49-F238E27FC236}">
                  <a16:creationId xmlns:a16="http://schemas.microsoft.com/office/drawing/2014/main" id="{00000000-0008-0000-0000-0000B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58</xdr:row>
          <xdr:rowOff>38100</xdr:rowOff>
        </xdr:from>
        <xdr:to>
          <xdr:col>13</xdr:col>
          <xdr:colOff>342900</xdr:colOff>
          <xdr:row>58</xdr:row>
          <xdr:rowOff>266700</xdr:rowOff>
        </xdr:to>
        <xdr:sp macro="" textlink="">
          <xdr:nvSpPr>
            <xdr:cNvPr id="5312" name="Check Box 1216" hidden="1">
              <a:extLst>
                <a:ext uri="{63B3BB69-23CF-44E3-9099-C40C66FF867C}">
                  <a14:compatExt spid="_x0000_s5312"/>
                </a:ext>
                <a:ext uri="{FF2B5EF4-FFF2-40B4-BE49-F238E27FC236}">
                  <a16:creationId xmlns:a16="http://schemas.microsoft.com/office/drawing/2014/main" id="{00000000-0008-0000-0000-0000C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58</xdr:row>
          <xdr:rowOff>38100</xdr:rowOff>
        </xdr:from>
        <xdr:to>
          <xdr:col>14</xdr:col>
          <xdr:colOff>342900</xdr:colOff>
          <xdr:row>58</xdr:row>
          <xdr:rowOff>266700</xdr:rowOff>
        </xdr:to>
        <xdr:sp macro="" textlink="">
          <xdr:nvSpPr>
            <xdr:cNvPr id="5313" name="Check Box 1217" hidden="1">
              <a:extLst>
                <a:ext uri="{63B3BB69-23CF-44E3-9099-C40C66FF867C}">
                  <a14:compatExt spid="_x0000_s5313"/>
                </a:ext>
                <a:ext uri="{FF2B5EF4-FFF2-40B4-BE49-F238E27FC236}">
                  <a16:creationId xmlns:a16="http://schemas.microsoft.com/office/drawing/2014/main" id="{00000000-0008-0000-0000-0000C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58</xdr:row>
          <xdr:rowOff>38100</xdr:rowOff>
        </xdr:from>
        <xdr:to>
          <xdr:col>15</xdr:col>
          <xdr:colOff>342900</xdr:colOff>
          <xdr:row>58</xdr:row>
          <xdr:rowOff>266700</xdr:rowOff>
        </xdr:to>
        <xdr:sp macro="" textlink="">
          <xdr:nvSpPr>
            <xdr:cNvPr id="5314" name="Check Box 1218" hidden="1">
              <a:extLst>
                <a:ext uri="{63B3BB69-23CF-44E3-9099-C40C66FF867C}">
                  <a14:compatExt spid="_x0000_s5314"/>
                </a:ext>
                <a:ext uri="{FF2B5EF4-FFF2-40B4-BE49-F238E27FC236}">
                  <a16:creationId xmlns:a16="http://schemas.microsoft.com/office/drawing/2014/main" id="{00000000-0008-0000-0000-0000C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58</xdr:row>
          <xdr:rowOff>38100</xdr:rowOff>
        </xdr:from>
        <xdr:to>
          <xdr:col>16</xdr:col>
          <xdr:colOff>342900</xdr:colOff>
          <xdr:row>58</xdr:row>
          <xdr:rowOff>266700</xdr:rowOff>
        </xdr:to>
        <xdr:sp macro="" textlink="">
          <xdr:nvSpPr>
            <xdr:cNvPr id="5315" name="Check Box 1219" hidden="1">
              <a:extLst>
                <a:ext uri="{63B3BB69-23CF-44E3-9099-C40C66FF867C}">
                  <a14:compatExt spid="_x0000_s5315"/>
                </a:ext>
                <a:ext uri="{FF2B5EF4-FFF2-40B4-BE49-F238E27FC236}">
                  <a16:creationId xmlns:a16="http://schemas.microsoft.com/office/drawing/2014/main" id="{00000000-0008-0000-0000-0000C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58</xdr:row>
          <xdr:rowOff>38100</xdr:rowOff>
        </xdr:from>
        <xdr:to>
          <xdr:col>17</xdr:col>
          <xdr:colOff>342900</xdr:colOff>
          <xdr:row>58</xdr:row>
          <xdr:rowOff>266700</xdr:rowOff>
        </xdr:to>
        <xdr:sp macro="" textlink="">
          <xdr:nvSpPr>
            <xdr:cNvPr id="5316" name="Check Box 1220" hidden="1">
              <a:extLst>
                <a:ext uri="{63B3BB69-23CF-44E3-9099-C40C66FF867C}">
                  <a14:compatExt spid="_x0000_s5316"/>
                </a:ext>
                <a:ext uri="{FF2B5EF4-FFF2-40B4-BE49-F238E27FC236}">
                  <a16:creationId xmlns:a16="http://schemas.microsoft.com/office/drawing/2014/main" id="{00000000-0008-0000-0000-0000C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58</xdr:row>
          <xdr:rowOff>38100</xdr:rowOff>
        </xdr:from>
        <xdr:to>
          <xdr:col>18</xdr:col>
          <xdr:colOff>342900</xdr:colOff>
          <xdr:row>58</xdr:row>
          <xdr:rowOff>266700</xdr:rowOff>
        </xdr:to>
        <xdr:sp macro="" textlink="">
          <xdr:nvSpPr>
            <xdr:cNvPr id="5317" name="Check Box 1221" hidden="1">
              <a:extLst>
                <a:ext uri="{63B3BB69-23CF-44E3-9099-C40C66FF867C}">
                  <a14:compatExt spid="_x0000_s5317"/>
                </a:ext>
                <a:ext uri="{FF2B5EF4-FFF2-40B4-BE49-F238E27FC236}">
                  <a16:creationId xmlns:a16="http://schemas.microsoft.com/office/drawing/2014/main" id="{00000000-0008-0000-0000-0000C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58</xdr:row>
          <xdr:rowOff>38100</xdr:rowOff>
        </xdr:from>
        <xdr:to>
          <xdr:col>19</xdr:col>
          <xdr:colOff>342900</xdr:colOff>
          <xdr:row>58</xdr:row>
          <xdr:rowOff>266700</xdr:rowOff>
        </xdr:to>
        <xdr:sp macro="" textlink="">
          <xdr:nvSpPr>
            <xdr:cNvPr id="5318" name="Check Box 1222" hidden="1">
              <a:extLst>
                <a:ext uri="{63B3BB69-23CF-44E3-9099-C40C66FF867C}">
                  <a14:compatExt spid="_x0000_s5318"/>
                </a:ext>
                <a:ext uri="{FF2B5EF4-FFF2-40B4-BE49-F238E27FC236}">
                  <a16:creationId xmlns:a16="http://schemas.microsoft.com/office/drawing/2014/main" id="{00000000-0008-0000-0000-0000C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58</xdr:row>
          <xdr:rowOff>38100</xdr:rowOff>
        </xdr:from>
        <xdr:to>
          <xdr:col>20</xdr:col>
          <xdr:colOff>342900</xdr:colOff>
          <xdr:row>58</xdr:row>
          <xdr:rowOff>266700</xdr:rowOff>
        </xdr:to>
        <xdr:sp macro="" textlink="">
          <xdr:nvSpPr>
            <xdr:cNvPr id="5319" name="Check Box 1223" hidden="1">
              <a:extLst>
                <a:ext uri="{63B3BB69-23CF-44E3-9099-C40C66FF867C}">
                  <a14:compatExt spid="_x0000_s5319"/>
                </a:ext>
                <a:ext uri="{FF2B5EF4-FFF2-40B4-BE49-F238E27FC236}">
                  <a16:creationId xmlns:a16="http://schemas.microsoft.com/office/drawing/2014/main" id="{00000000-0008-0000-0000-0000C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58</xdr:row>
          <xdr:rowOff>38100</xdr:rowOff>
        </xdr:from>
        <xdr:to>
          <xdr:col>21</xdr:col>
          <xdr:colOff>342900</xdr:colOff>
          <xdr:row>58</xdr:row>
          <xdr:rowOff>266700</xdr:rowOff>
        </xdr:to>
        <xdr:sp macro="" textlink="">
          <xdr:nvSpPr>
            <xdr:cNvPr id="5320" name="Check Box 1224" hidden="1">
              <a:extLst>
                <a:ext uri="{63B3BB69-23CF-44E3-9099-C40C66FF867C}">
                  <a14:compatExt spid="_x0000_s5320"/>
                </a:ext>
                <a:ext uri="{FF2B5EF4-FFF2-40B4-BE49-F238E27FC236}">
                  <a16:creationId xmlns:a16="http://schemas.microsoft.com/office/drawing/2014/main" id="{00000000-0008-0000-0000-0000C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58</xdr:row>
          <xdr:rowOff>38100</xdr:rowOff>
        </xdr:from>
        <xdr:to>
          <xdr:col>22</xdr:col>
          <xdr:colOff>342900</xdr:colOff>
          <xdr:row>58</xdr:row>
          <xdr:rowOff>266700</xdr:rowOff>
        </xdr:to>
        <xdr:sp macro="" textlink="">
          <xdr:nvSpPr>
            <xdr:cNvPr id="5321" name="Check Box 1225" hidden="1">
              <a:extLst>
                <a:ext uri="{63B3BB69-23CF-44E3-9099-C40C66FF867C}">
                  <a14:compatExt spid="_x0000_s5321"/>
                </a:ext>
                <a:ext uri="{FF2B5EF4-FFF2-40B4-BE49-F238E27FC236}">
                  <a16:creationId xmlns:a16="http://schemas.microsoft.com/office/drawing/2014/main" id="{00000000-0008-0000-0000-0000C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58</xdr:row>
          <xdr:rowOff>38100</xdr:rowOff>
        </xdr:from>
        <xdr:to>
          <xdr:col>23</xdr:col>
          <xdr:colOff>342900</xdr:colOff>
          <xdr:row>58</xdr:row>
          <xdr:rowOff>266700</xdr:rowOff>
        </xdr:to>
        <xdr:sp macro="" textlink="">
          <xdr:nvSpPr>
            <xdr:cNvPr id="5322" name="Check Box 1226" hidden="1">
              <a:extLst>
                <a:ext uri="{63B3BB69-23CF-44E3-9099-C40C66FF867C}">
                  <a14:compatExt spid="_x0000_s5322"/>
                </a:ext>
                <a:ext uri="{FF2B5EF4-FFF2-40B4-BE49-F238E27FC236}">
                  <a16:creationId xmlns:a16="http://schemas.microsoft.com/office/drawing/2014/main" id="{00000000-0008-0000-0000-0000C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58</xdr:row>
          <xdr:rowOff>38100</xdr:rowOff>
        </xdr:from>
        <xdr:to>
          <xdr:col>24</xdr:col>
          <xdr:colOff>342900</xdr:colOff>
          <xdr:row>58</xdr:row>
          <xdr:rowOff>266700</xdr:rowOff>
        </xdr:to>
        <xdr:sp macro="" textlink="">
          <xdr:nvSpPr>
            <xdr:cNvPr id="5323" name="Check Box 1227" hidden="1">
              <a:extLst>
                <a:ext uri="{63B3BB69-23CF-44E3-9099-C40C66FF867C}">
                  <a14:compatExt spid="_x0000_s5323"/>
                </a:ext>
                <a:ext uri="{FF2B5EF4-FFF2-40B4-BE49-F238E27FC236}">
                  <a16:creationId xmlns:a16="http://schemas.microsoft.com/office/drawing/2014/main" id="{00000000-0008-0000-0000-0000C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58</xdr:row>
          <xdr:rowOff>38100</xdr:rowOff>
        </xdr:from>
        <xdr:to>
          <xdr:col>25</xdr:col>
          <xdr:colOff>342900</xdr:colOff>
          <xdr:row>58</xdr:row>
          <xdr:rowOff>266700</xdr:rowOff>
        </xdr:to>
        <xdr:sp macro="" textlink="">
          <xdr:nvSpPr>
            <xdr:cNvPr id="5324" name="Check Box 1228" hidden="1">
              <a:extLst>
                <a:ext uri="{63B3BB69-23CF-44E3-9099-C40C66FF867C}">
                  <a14:compatExt spid="_x0000_s5324"/>
                </a:ext>
                <a:ext uri="{FF2B5EF4-FFF2-40B4-BE49-F238E27FC236}">
                  <a16:creationId xmlns:a16="http://schemas.microsoft.com/office/drawing/2014/main" id="{00000000-0008-0000-0000-0000C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58</xdr:row>
          <xdr:rowOff>38100</xdr:rowOff>
        </xdr:from>
        <xdr:to>
          <xdr:col>26</xdr:col>
          <xdr:colOff>342900</xdr:colOff>
          <xdr:row>58</xdr:row>
          <xdr:rowOff>266700</xdr:rowOff>
        </xdr:to>
        <xdr:sp macro="" textlink="">
          <xdr:nvSpPr>
            <xdr:cNvPr id="5325" name="Check Box 1229" hidden="1">
              <a:extLst>
                <a:ext uri="{63B3BB69-23CF-44E3-9099-C40C66FF867C}">
                  <a14:compatExt spid="_x0000_s5325"/>
                </a:ext>
                <a:ext uri="{FF2B5EF4-FFF2-40B4-BE49-F238E27FC236}">
                  <a16:creationId xmlns:a16="http://schemas.microsoft.com/office/drawing/2014/main" id="{00000000-0008-0000-0000-0000C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58</xdr:row>
          <xdr:rowOff>38100</xdr:rowOff>
        </xdr:from>
        <xdr:to>
          <xdr:col>27</xdr:col>
          <xdr:colOff>342900</xdr:colOff>
          <xdr:row>58</xdr:row>
          <xdr:rowOff>266700</xdr:rowOff>
        </xdr:to>
        <xdr:sp macro="" textlink="">
          <xdr:nvSpPr>
            <xdr:cNvPr id="5326" name="Check Box 1230" hidden="1">
              <a:extLst>
                <a:ext uri="{63B3BB69-23CF-44E3-9099-C40C66FF867C}">
                  <a14:compatExt spid="_x0000_s5326"/>
                </a:ext>
                <a:ext uri="{FF2B5EF4-FFF2-40B4-BE49-F238E27FC236}">
                  <a16:creationId xmlns:a16="http://schemas.microsoft.com/office/drawing/2014/main" id="{00000000-0008-0000-0000-0000C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58</xdr:row>
          <xdr:rowOff>38100</xdr:rowOff>
        </xdr:from>
        <xdr:to>
          <xdr:col>28</xdr:col>
          <xdr:colOff>342900</xdr:colOff>
          <xdr:row>58</xdr:row>
          <xdr:rowOff>266700</xdr:rowOff>
        </xdr:to>
        <xdr:sp macro="" textlink="">
          <xdr:nvSpPr>
            <xdr:cNvPr id="5327" name="Check Box 1231" hidden="1">
              <a:extLst>
                <a:ext uri="{63B3BB69-23CF-44E3-9099-C40C66FF867C}">
                  <a14:compatExt spid="_x0000_s5327"/>
                </a:ext>
                <a:ext uri="{FF2B5EF4-FFF2-40B4-BE49-F238E27FC236}">
                  <a16:creationId xmlns:a16="http://schemas.microsoft.com/office/drawing/2014/main" id="{00000000-0008-0000-0000-0000C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58</xdr:row>
          <xdr:rowOff>38100</xdr:rowOff>
        </xdr:from>
        <xdr:to>
          <xdr:col>29</xdr:col>
          <xdr:colOff>342900</xdr:colOff>
          <xdr:row>58</xdr:row>
          <xdr:rowOff>266700</xdr:rowOff>
        </xdr:to>
        <xdr:sp macro="" textlink="">
          <xdr:nvSpPr>
            <xdr:cNvPr id="5328" name="Check Box 1232" hidden="1">
              <a:extLst>
                <a:ext uri="{63B3BB69-23CF-44E3-9099-C40C66FF867C}">
                  <a14:compatExt spid="_x0000_s5328"/>
                </a:ext>
                <a:ext uri="{FF2B5EF4-FFF2-40B4-BE49-F238E27FC236}">
                  <a16:creationId xmlns:a16="http://schemas.microsoft.com/office/drawing/2014/main" id="{00000000-0008-0000-0000-0000D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58</xdr:row>
          <xdr:rowOff>38100</xdr:rowOff>
        </xdr:from>
        <xdr:to>
          <xdr:col>30</xdr:col>
          <xdr:colOff>342900</xdr:colOff>
          <xdr:row>58</xdr:row>
          <xdr:rowOff>266700</xdr:rowOff>
        </xdr:to>
        <xdr:sp macro="" textlink="">
          <xdr:nvSpPr>
            <xdr:cNvPr id="5329" name="Check Box 1233" hidden="1">
              <a:extLst>
                <a:ext uri="{63B3BB69-23CF-44E3-9099-C40C66FF867C}">
                  <a14:compatExt spid="_x0000_s5329"/>
                </a:ext>
                <a:ext uri="{FF2B5EF4-FFF2-40B4-BE49-F238E27FC236}">
                  <a16:creationId xmlns:a16="http://schemas.microsoft.com/office/drawing/2014/main" id="{00000000-0008-0000-0000-0000D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58</xdr:row>
          <xdr:rowOff>38100</xdr:rowOff>
        </xdr:from>
        <xdr:to>
          <xdr:col>31</xdr:col>
          <xdr:colOff>342900</xdr:colOff>
          <xdr:row>58</xdr:row>
          <xdr:rowOff>266700</xdr:rowOff>
        </xdr:to>
        <xdr:sp macro="" textlink="">
          <xdr:nvSpPr>
            <xdr:cNvPr id="5330" name="Check Box 1234" hidden="1">
              <a:extLst>
                <a:ext uri="{63B3BB69-23CF-44E3-9099-C40C66FF867C}">
                  <a14:compatExt spid="_x0000_s5330"/>
                </a:ext>
                <a:ext uri="{FF2B5EF4-FFF2-40B4-BE49-F238E27FC236}">
                  <a16:creationId xmlns:a16="http://schemas.microsoft.com/office/drawing/2014/main" id="{00000000-0008-0000-0000-0000D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58</xdr:row>
          <xdr:rowOff>38100</xdr:rowOff>
        </xdr:from>
        <xdr:to>
          <xdr:col>32</xdr:col>
          <xdr:colOff>342900</xdr:colOff>
          <xdr:row>58</xdr:row>
          <xdr:rowOff>266700</xdr:rowOff>
        </xdr:to>
        <xdr:sp macro="" textlink="">
          <xdr:nvSpPr>
            <xdr:cNvPr id="5331" name="Check Box 1235" hidden="1">
              <a:extLst>
                <a:ext uri="{63B3BB69-23CF-44E3-9099-C40C66FF867C}">
                  <a14:compatExt spid="_x0000_s5331"/>
                </a:ext>
                <a:ext uri="{FF2B5EF4-FFF2-40B4-BE49-F238E27FC236}">
                  <a16:creationId xmlns:a16="http://schemas.microsoft.com/office/drawing/2014/main" id="{00000000-0008-0000-0000-0000D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58</xdr:row>
          <xdr:rowOff>38100</xdr:rowOff>
        </xdr:from>
        <xdr:to>
          <xdr:col>33</xdr:col>
          <xdr:colOff>342900</xdr:colOff>
          <xdr:row>58</xdr:row>
          <xdr:rowOff>266700</xdr:rowOff>
        </xdr:to>
        <xdr:sp macro="" textlink="">
          <xdr:nvSpPr>
            <xdr:cNvPr id="5332" name="Check Box 1236" hidden="1">
              <a:extLst>
                <a:ext uri="{63B3BB69-23CF-44E3-9099-C40C66FF867C}">
                  <a14:compatExt spid="_x0000_s5332"/>
                </a:ext>
                <a:ext uri="{FF2B5EF4-FFF2-40B4-BE49-F238E27FC236}">
                  <a16:creationId xmlns:a16="http://schemas.microsoft.com/office/drawing/2014/main" id="{00000000-0008-0000-0000-0000D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58</xdr:row>
          <xdr:rowOff>38100</xdr:rowOff>
        </xdr:from>
        <xdr:to>
          <xdr:col>34</xdr:col>
          <xdr:colOff>342900</xdr:colOff>
          <xdr:row>58</xdr:row>
          <xdr:rowOff>266700</xdr:rowOff>
        </xdr:to>
        <xdr:sp macro="" textlink="">
          <xdr:nvSpPr>
            <xdr:cNvPr id="5333" name="Check Box 1237" hidden="1">
              <a:extLst>
                <a:ext uri="{63B3BB69-23CF-44E3-9099-C40C66FF867C}">
                  <a14:compatExt spid="_x0000_s5333"/>
                </a:ext>
                <a:ext uri="{FF2B5EF4-FFF2-40B4-BE49-F238E27FC236}">
                  <a16:creationId xmlns:a16="http://schemas.microsoft.com/office/drawing/2014/main" id="{00000000-0008-0000-0000-0000D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58</xdr:row>
          <xdr:rowOff>38100</xdr:rowOff>
        </xdr:from>
        <xdr:to>
          <xdr:col>35</xdr:col>
          <xdr:colOff>342900</xdr:colOff>
          <xdr:row>58</xdr:row>
          <xdr:rowOff>266700</xdr:rowOff>
        </xdr:to>
        <xdr:sp macro="" textlink="">
          <xdr:nvSpPr>
            <xdr:cNvPr id="5334" name="Check Box 1238" hidden="1">
              <a:extLst>
                <a:ext uri="{63B3BB69-23CF-44E3-9099-C40C66FF867C}">
                  <a14:compatExt spid="_x0000_s5334"/>
                </a:ext>
                <a:ext uri="{FF2B5EF4-FFF2-40B4-BE49-F238E27FC236}">
                  <a16:creationId xmlns:a16="http://schemas.microsoft.com/office/drawing/2014/main" id="{00000000-0008-0000-0000-0000D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58</xdr:row>
          <xdr:rowOff>38100</xdr:rowOff>
        </xdr:from>
        <xdr:to>
          <xdr:col>36</xdr:col>
          <xdr:colOff>342900</xdr:colOff>
          <xdr:row>58</xdr:row>
          <xdr:rowOff>266700</xdr:rowOff>
        </xdr:to>
        <xdr:sp macro="" textlink="">
          <xdr:nvSpPr>
            <xdr:cNvPr id="5335" name="Check Box 1239" hidden="1">
              <a:extLst>
                <a:ext uri="{63B3BB69-23CF-44E3-9099-C40C66FF867C}">
                  <a14:compatExt spid="_x0000_s5335"/>
                </a:ext>
                <a:ext uri="{FF2B5EF4-FFF2-40B4-BE49-F238E27FC236}">
                  <a16:creationId xmlns:a16="http://schemas.microsoft.com/office/drawing/2014/main" id="{00000000-0008-0000-0000-0000D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58</xdr:row>
          <xdr:rowOff>38100</xdr:rowOff>
        </xdr:from>
        <xdr:to>
          <xdr:col>37</xdr:col>
          <xdr:colOff>342900</xdr:colOff>
          <xdr:row>58</xdr:row>
          <xdr:rowOff>266700</xdr:rowOff>
        </xdr:to>
        <xdr:sp macro="" textlink="">
          <xdr:nvSpPr>
            <xdr:cNvPr id="5336" name="Check Box 1240" hidden="1">
              <a:extLst>
                <a:ext uri="{63B3BB69-23CF-44E3-9099-C40C66FF867C}">
                  <a14:compatExt spid="_x0000_s5336"/>
                </a:ext>
                <a:ext uri="{FF2B5EF4-FFF2-40B4-BE49-F238E27FC236}">
                  <a16:creationId xmlns:a16="http://schemas.microsoft.com/office/drawing/2014/main" id="{00000000-0008-0000-0000-0000D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59</xdr:row>
          <xdr:rowOff>38100</xdr:rowOff>
        </xdr:from>
        <xdr:to>
          <xdr:col>7</xdr:col>
          <xdr:colOff>342900</xdr:colOff>
          <xdr:row>59</xdr:row>
          <xdr:rowOff>266700</xdr:rowOff>
        </xdr:to>
        <xdr:sp macro="" textlink="">
          <xdr:nvSpPr>
            <xdr:cNvPr id="5337" name="Check Box 1241" hidden="1">
              <a:extLst>
                <a:ext uri="{63B3BB69-23CF-44E3-9099-C40C66FF867C}">
                  <a14:compatExt spid="_x0000_s5337"/>
                </a:ext>
                <a:ext uri="{FF2B5EF4-FFF2-40B4-BE49-F238E27FC236}">
                  <a16:creationId xmlns:a16="http://schemas.microsoft.com/office/drawing/2014/main" id="{00000000-0008-0000-0000-0000D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59</xdr:row>
          <xdr:rowOff>38100</xdr:rowOff>
        </xdr:from>
        <xdr:to>
          <xdr:col>8</xdr:col>
          <xdr:colOff>342900</xdr:colOff>
          <xdr:row>59</xdr:row>
          <xdr:rowOff>266700</xdr:rowOff>
        </xdr:to>
        <xdr:sp macro="" textlink="">
          <xdr:nvSpPr>
            <xdr:cNvPr id="5338" name="Check Box 1242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id="{00000000-0008-0000-0000-0000D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59</xdr:row>
          <xdr:rowOff>38100</xdr:rowOff>
        </xdr:from>
        <xdr:to>
          <xdr:col>9</xdr:col>
          <xdr:colOff>342900</xdr:colOff>
          <xdr:row>59</xdr:row>
          <xdr:rowOff>266700</xdr:rowOff>
        </xdr:to>
        <xdr:sp macro="" textlink="">
          <xdr:nvSpPr>
            <xdr:cNvPr id="5339" name="Check Box 1243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id="{00000000-0008-0000-0000-0000D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59</xdr:row>
          <xdr:rowOff>38100</xdr:rowOff>
        </xdr:from>
        <xdr:to>
          <xdr:col>10</xdr:col>
          <xdr:colOff>342900</xdr:colOff>
          <xdr:row>59</xdr:row>
          <xdr:rowOff>266700</xdr:rowOff>
        </xdr:to>
        <xdr:sp macro="" textlink="">
          <xdr:nvSpPr>
            <xdr:cNvPr id="5340" name="Check Box 1244" hidden="1">
              <a:extLst>
                <a:ext uri="{63B3BB69-23CF-44E3-9099-C40C66FF867C}">
                  <a14:compatExt spid="_x0000_s5340"/>
                </a:ext>
                <a:ext uri="{FF2B5EF4-FFF2-40B4-BE49-F238E27FC236}">
                  <a16:creationId xmlns:a16="http://schemas.microsoft.com/office/drawing/2014/main" id="{00000000-0008-0000-0000-0000D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59</xdr:row>
          <xdr:rowOff>38100</xdr:rowOff>
        </xdr:from>
        <xdr:to>
          <xdr:col>11</xdr:col>
          <xdr:colOff>342900</xdr:colOff>
          <xdr:row>59</xdr:row>
          <xdr:rowOff>266700</xdr:rowOff>
        </xdr:to>
        <xdr:sp macro="" textlink="">
          <xdr:nvSpPr>
            <xdr:cNvPr id="5341" name="Check Box 1245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id="{00000000-0008-0000-0000-0000D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59</xdr:row>
          <xdr:rowOff>38100</xdr:rowOff>
        </xdr:from>
        <xdr:to>
          <xdr:col>12</xdr:col>
          <xdr:colOff>342900</xdr:colOff>
          <xdr:row>59</xdr:row>
          <xdr:rowOff>266700</xdr:rowOff>
        </xdr:to>
        <xdr:sp macro="" textlink="">
          <xdr:nvSpPr>
            <xdr:cNvPr id="5342" name="Check Box 1246" hidden="1">
              <a:extLst>
                <a:ext uri="{63B3BB69-23CF-44E3-9099-C40C66FF867C}">
                  <a14:compatExt spid="_x0000_s5342"/>
                </a:ext>
                <a:ext uri="{FF2B5EF4-FFF2-40B4-BE49-F238E27FC236}">
                  <a16:creationId xmlns:a16="http://schemas.microsoft.com/office/drawing/2014/main" id="{00000000-0008-0000-0000-0000D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59</xdr:row>
          <xdr:rowOff>38100</xdr:rowOff>
        </xdr:from>
        <xdr:to>
          <xdr:col>13</xdr:col>
          <xdr:colOff>342900</xdr:colOff>
          <xdr:row>59</xdr:row>
          <xdr:rowOff>266700</xdr:rowOff>
        </xdr:to>
        <xdr:sp macro="" textlink="">
          <xdr:nvSpPr>
            <xdr:cNvPr id="5343" name="Check Box 1247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id="{00000000-0008-0000-0000-0000D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59</xdr:row>
          <xdr:rowOff>38100</xdr:rowOff>
        </xdr:from>
        <xdr:to>
          <xdr:col>14</xdr:col>
          <xdr:colOff>342900</xdr:colOff>
          <xdr:row>59</xdr:row>
          <xdr:rowOff>266700</xdr:rowOff>
        </xdr:to>
        <xdr:sp macro="" textlink="">
          <xdr:nvSpPr>
            <xdr:cNvPr id="5344" name="Check Box 1248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id="{00000000-0008-0000-0000-0000E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59</xdr:row>
          <xdr:rowOff>38100</xdr:rowOff>
        </xdr:from>
        <xdr:to>
          <xdr:col>15</xdr:col>
          <xdr:colOff>342900</xdr:colOff>
          <xdr:row>59</xdr:row>
          <xdr:rowOff>266700</xdr:rowOff>
        </xdr:to>
        <xdr:sp macro="" textlink="">
          <xdr:nvSpPr>
            <xdr:cNvPr id="5345" name="Check Box 1249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id="{00000000-0008-0000-0000-0000E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59</xdr:row>
          <xdr:rowOff>38100</xdr:rowOff>
        </xdr:from>
        <xdr:to>
          <xdr:col>16</xdr:col>
          <xdr:colOff>342900</xdr:colOff>
          <xdr:row>59</xdr:row>
          <xdr:rowOff>266700</xdr:rowOff>
        </xdr:to>
        <xdr:sp macro="" textlink="">
          <xdr:nvSpPr>
            <xdr:cNvPr id="5346" name="Check Box 1250" hidden="1">
              <a:extLst>
                <a:ext uri="{63B3BB69-23CF-44E3-9099-C40C66FF867C}">
                  <a14:compatExt spid="_x0000_s5346"/>
                </a:ext>
                <a:ext uri="{FF2B5EF4-FFF2-40B4-BE49-F238E27FC236}">
                  <a16:creationId xmlns:a16="http://schemas.microsoft.com/office/drawing/2014/main" id="{00000000-0008-0000-0000-0000E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59</xdr:row>
          <xdr:rowOff>38100</xdr:rowOff>
        </xdr:from>
        <xdr:to>
          <xdr:col>17</xdr:col>
          <xdr:colOff>342900</xdr:colOff>
          <xdr:row>59</xdr:row>
          <xdr:rowOff>266700</xdr:rowOff>
        </xdr:to>
        <xdr:sp macro="" textlink="">
          <xdr:nvSpPr>
            <xdr:cNvPr id="5347" name="Check Box 1251" hidden="1">
              <a:extLst>
                <a:ext uri="{63B3BB69-23CF-44E3-9099-C40C66FF867C}">
                  <a14:compatExt spid="_x0000_s5347"/>
                </a:ext>
                <a:ext uri="{FF2B5EF4-FFF2-40B4-BE49-F238E27FC236}">
                  <a16:creationId xmlns:a16="http://schemas.microsoft.com/office/drawing/2014/main" id="{00000000-0008-0000-0000-0000E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59</xdr:row>
          <xdr:rowOff>38100</xdr:rowOff>
        </xdr:from>
        <xdr:to>
          <xdr:col>18</xdr:col>
          <xdr:colOff>342900</xdr:colOff>
          <xdr:row>59</xdr:row>
          <xdr:rowOff>266700</xdr:rowOff>
        </xdr:to>
        <xdr:sp macro="" textlink="">
          <xdr:nvSpPr>
            <xdr:cNvPr id="5348" name="Check Box 1252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id="{00000000-0008-0000-0000-0000E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59</xdr:row>
          <xdr:rowOff>38100</xdr:rowOff>
        </xdr:from>
        <xdr:to>
          <xdr:col>19</xdr:col>
          <xdr:colOff>342900</xdr:colOff>
          <xdr:row>59</xdr:row>
          <xdr:rowOff>266700</xdr:rowOff>
        </xdr:to>
        <xdr:sp macro="" textlink="">
          <xdr:nvSpPr>
            <xdr:cNvPr id="5349" name="Check Box 1253" hidden="1">
              <a:extLst>
                <a:ext uri="{63B3BB69-23CF-44E3-9099-C40C66FF867C}">
                  <a14:compatExt spid="_x0000_s5349"/>
                </a:ext>
                <a:ext uri="{FF2B5EF4-FFF2-40B4-BE49-F238E27FC236}">
                  <a16:creationId xmlns:a16="http://schemas.microsoft.com/office/drawing/2014/main" id="{00000000-0008-0000-0000-0000E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59</xdr:row>
          <xdr:rowOff>38100</xdr:rowOff>
        </xdr:from>
        <xdr:to>
          <xdr:col>20</xdr:col>
          <xdr:colOff>342900</xdr:colOff>
          <xdr:row>59</xdr:row>
          <xdr:rowOff>266700</xdr:rowOff>
        </xdr:to>
        <xdr:sp macro="" textlink="">
          <xdr:nvSpPr>
            <xdr:cNvPr id="5350" name="Check Box 1254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id="{00000000-0008-0000-0000-0000E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59</xdr:row>
          <xdr:rowOff>38100</xdr:rowOff>
        </xdr:from>
        <xdr:to>
          <xdr:col>21</xdr:col>
          <xdr:colOff>342900</xdr:colOff>
          <xdr:row>59</xdr:row>
          <xdr:rowOff>266700</xdr:rowOff>
        </xdr:to>
        <xdr:sp macro="" textlink="">
          <xdr:nvSpPr>
            <xdr:cNvPr id="5351" name="Check Box 1255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id="{00000000-0008-0000-0000-0000E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59</xdr:row>
          <xdr:rowOff>38100</xdr:rowOff>
        </xdr:from>
        <xdr:to>
          <xdr:col>22</xdr:col>
          <xdr:colOff>342900</xdr:colOff>
          <xdr:row>59</xdr:row>
          <xdr:rowOff>266700</xdr:rowOff>
        </xdr:to>
        <xdr:sp macro="" textlink="">
          <xdr:nvSpPr>
            <xdr:cNvPr id="5352" name="Check Box 1256" hidden="1">
              <a:extLst>
                <a:ext uri="{63B3BB69-23CF-44E3-9099-C40C66FF867C}">
                  <a14:compatExt spid="_x0000_s5352"/>
                </a:ext>
                <a:ext uri="{FF2B5EF4-FFF2-40B4-BE49-F238E27FC236}">
                  <a16:creationId xmlns:a16="http://schemas.microsoft.com/office/drawing/2014/main" id="{00000000-0008-0000-0000-0000E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59</xdr:row>
          <xdr:rowOff>38100</xdr:rowOff>
        </xdr:from>
        <xdr:to>
          <xdr:col>23</xdr:col>
          <xdr:colOff>342900</xdr:colOff>
          <xdr:row>59</xdr:row>
          <xdr:rowOff>266700</xdr:rowOff>
        </xdr:to>
        <xdr:sp macro="" textlink="">
          <xdr:nvSpPr>
            <xdr:cNvPr id="5353" name="Check Box 1257" hidden="1">
              <a:extLst>
                <a:ext uri="{63B3BB69-23CF-44E3-9099-C40C66FF867C}">
                  <a14:compatExt spid="_x0000_s5353"/>
                </a:ext>
                <a:ext uri="{FF2B5EF4-FFF2-40B4-BE49-F238E27FC236}">
                  <a16:creationId xmlns:a16="http://schemas.microsoft.com/office/drawing/2014/main" id="{00000000-0008-0000-0000-0000E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59</xdr:row>
          <xdr:rowOff>38100</xdr:rowOff>
        </xdr:from>
        <xdr:to>
          <xdr:col>24</xdr:col>
          <xdr:colOff>342900</xdr:colOff>
          <xdr:row>59</xdr:row>
          <xdr:rowOff>266700</xdr:rowOff>
        </xdr:to>
        <xdr:sp macro="" textlink="">
          <xdr:nvSpPr>
            <xdr:cNvPr id="5354" name="Check Box 1258" hidden="1">
              <a:extLst>
                <a:ext uri="{63B3BB69-23CF-44E3-9099-C40C66FF867C}">
                  <a14:compatExt spid="_x0000_s5354"/>
                </a:ext>
                <a:ext uri="{FF2B5EF4-FFF2-40B4-BE49-F238E27FC236}">
                  <a16:creationId xmlns:a16="http://schemas.microsoft.com/office/drawing/2014/main" id="{00000000-0008-0000-0000-0000E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59</xdr:row>
          <xdr:rowOff>38100</xdr:rowOff>
        </xdr:from>
        <xdr:to>
          <xdr:col>25</xdr:col>
          <xdr:colOff>342900</xdr:colOff>
          <xdr:row>59</xdr:row>
          <xdr:rowOff>266700</xdr:rowOff>
        </xdr:to>
        <xdr:sp macro="" textlink="">
          <xdr:nvSpPr>
            <xdr:cNvPr id="5355" name="Check Box 1259" hidden="1">
              <a:extLst>
                <a:ext uri="{63B3BB69-23CF-44E3-9099-C40C66FF867C}">
                  <a14:compatExt spid="_x0000_s5355"/>
                </a:ext>
                <a:ext uri="{FF2B5EF4-FFF2-40B4-BE49-F238E27FC236}">
                  <a16:creationId xmlns:a16="http://schemas.microsoft.com/office/drawing/2014/main" id="{00000000-0008-0000-0000-0000E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59</xdr:row>
          <xdr:rowOff>38100</xdr:rowOff>
        </xdr:from>
        <xdr:to>
          <xdr:col>26</xdr:col>
          <xdr:colOff>342900</xdr:colOff>
          <xdr:row>59</xdr:row>
          <xdr:rowOff>266700</xdr:rowOff>
        </xdr:to>
        <xdr:sp macro="" textlink="">
          <xdr:nvSpPr>
            <xdr:cNvPr id="5356" name="Check Box 1260" hidden="1">
              <a:extLst>
                <a:ext uri="{63B3BB69-23CF-44E3-9099-C40C66FF867C}">
                  <a14:compatExt spid="_x0000_s5356"/>
                </a:ext>
                <a:ext uri="{FF2B5EF4-FFF2-40B4-BE49-F238E27FC236}">
                  <a16:creationId xmlns:a16="http://schemas.microsoft.com/office/drawing/2014/main" id="{00000000-0008-0000-0000-0000E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59</xdr:row>
          <xdr:rowOff>38100</xdr:rowOff>
        </xdr:from>
        <xdr:to>
          <xdr:col>27</xdr:col>
          <xdr:colOff>342900</xdr:colOff>
          <xdr:row>59</xdr:row>
          <xdr:rowOff>266700</xdr:rowOff>
        </xdr:to>
        <xdr:sp macro="" textlink="">
          <xdr:nvSpPr>
            <xdr:cNvPr id="5357" name="Check Box 1261" hidden="1">
              <a:extLst>
                <a:ext uri="{63B3BB69-23CF-44E3-9099-C40C66FF867C}">
                  <a14:compatExt spid="_x0000_s5357"/>
                </a:ext>
                <a:ext uri="{FF2B5EF4-FFF2-40B4-BE49-F238E27FC236}">
                  <a16:creationId xmlns:a16="http://schemas.microsoft.com/office/drawing/2014/main" id="{00000000-0008-0000-0000-0000E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59</xdr:row>
          <xdr:rowOff>38100</xdr:rowOff>
        </xdr:from>
        <xdr:to>
          <xdr:col>28</xdr:col>
          <xdr:colOff>342900</xdr:colOff>
          <xdr:row>59</xdr:row>
          <xdr:rowOff>266700</xdr:rowOff>
        </xdr:to>
        <xdr:sp macro="" textlink="">
          <xdr:nvSpPr>
            <xdr:cNvPr id="5358" name="Check Box 1262" hidden="1">
              <a:extLst>
                <a:ext uri="{63B3BB69-23CF-44E3-9099-C40C66FF867C}">
                  <a14:compatExt spid="_x0000_s5358"/>
                </a:ext>
                <a:ext uri="{FF2B5EF4-FFF2-40B4-BE49-F238E27FC236}">
                  <a16:creationId xmlns:a16="http://schemas.microsoft.com/office/drawing/2014/main" id="{00000000-0008-0000-0000-0000E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59</xdr:row>
          <xdr:rowOff>38100</xdr:rowOff>
        </xdr:from>
        <xdr:to>
          <xdr:col>29</xdr:col>
          <xdr:colOff>342900</xdr:colOff>
          <xdr:row>59</xdr:row>
          <xdr:rowOff>266700</xdr:rowOff>
        </xdr:to>
        <xdr:sp macro="" textlink="">
          <xdr:nvSpPr>
            <xdr:cNvPr id="5359" name="Check Box 1263" hidden="1">
              <a:extLst>
                <a:ext uri="{63B3BB69-23CF-44E3-9099-C40C66FF867C}">
                  <a14:compatExt spid="_x0000_s5359"/>
                </a:ext>
                <a:ext uri="{FF2B5EF4-FFF2-40B4-BE49-F238E27FC236}">
                  <a16:creationId xmlns:a16="http://schemas.microsoft.com/office/drawing/2014/main" id="{00000000-0008-0000-0000-0000E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59</xdr:row>
          <xdr:rowOff>38100</xdr:rowOff>
        </xdr:from>
        <xdr:to>
          <xdr:col>30</xdr:col>
          <xdr:colOff>342900</xdr:colOff>
          <xdr:row>59</xdr:row>
          <xdr:rowOff>266700</xdr:rowOff>
        </xdr:to>
        <xdr:sp macro="" textlink="">
          <xdr:nvSpPr>
            <xdr:cNvPr id="5360" name="Check Box 1264" hidden="1">
              <a:extLst>
                <a:ext uri="{63B3BB69-23CF-44E3-9099-C40C66FF867C}">
                  <a14:compatExt spid="_x0000_s5360"/>
                </a:ext>
                <a:ext uri="{FF2B5EF4-FFF2-40B4-BE49-F238E27FC236}">
                  <a16:creationId xmlns:a16="http://schemas.microsoft.com/office/drawing/2014/main" id="{00000000-0008-0000-0000-0000F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59</xdr:row>
          <xdr:rowOff>38100</xdr:rowOff>
        </xdr:from>
        <xdr:to>
          <xdr:col>31</xdr:col>
          <xdr:colOff>342900</xdr:colOff>
          <xdr:row>59</xdr:row>
          <xdr:rowOff>266700</xdr:rowOff>
        </xdr:to>
        <xdr:sp macro="" textlink="">
          <xdr:nvSpPr>
            <xdr:cNvPr id="5361" name="Check Box 1265" hidden="1">
              <a:extLst>
                <a:ext uri="{63B3BB69-23CF-44E3-9099-C40C66FF867C}">
                  <a14:compatExt spid="_x0000_s5361"/>
                </a:ext>
                <a:ext uri="{FF2B5EF4-FFF2-40B4-BE49-F238E27FC236}">
                  <a16:creationId xmlns:a16="http://schemas.microsoft.com/office/drawing/2014/main" id="{00000000-0008-0000-0000-0000F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59</xdr:row>
          <xdr:rowOff>38100</xdr:rowOff>
        </xdr:from>
        <xdr:to>
          <xdr:col>32</xdr:col>
          <xdr:colOff>342900</xdr:colOff>
          <xdr:row>59</xdr:row>
          <xdr:rowOff>266700</xdr:rowOff>
        </xdr:to>
        <xdr:sp macro="" textlink="">
          <xdr:nvSpPr>
            <xdr:cNvPr id="5362" name="Check Box 1266" hidden="1">
              <a:extLst>
                <a:ext uri="{63B3BB69-23CF-44E3-9099-C40C66FF867C}">
                  <a14:compatExt spid="_x0000_s5362"/>
                </a:ext>
                <a:ext uri="{FF2B5EF4-FFF2-40B4-BE49-F238E27FC236}">
                  <a16:creationId xmlns:a16="http://schemas.microsoft.com/office/drawing/2014/main" id="{00000000-0008-0000-0000-0000F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59</xdr:row>
          <xdr:rowOff>38100</xdr:rowOff>
        </xdr:from>
        <xdr:to>
          <xdr:col>33</xdr:col>
          <xdr:colOff>342900</xdr:colOff>
          <xdr:row>59</xdr:row>
          <xdr:rowOff>266700</xdr:rowOff>
        </xdr:to>
        <xdr:sp macro="" textlink="">
          <xdr:nvSpPr>
            <xdr:cNvPr id="5363" name="Check Box 1267" hidden="1">
              <a:extLst>
                <a:ext uri="{63B3BB69-23CF-44E3-9099-C40C66FF867C}">
                  <a14:compatExt spid="_x0000_s5363"/>
                </a:ext>
                <a:ext uri="{FF2B5EF4-FFF2-40B4-BE49-F238E27FC236}">
                  <a16:creationId xmlns:a16="http://schemas.microsoft.com/office/drawing/2014/main" id="{00000000-0008-0000-0000-0000F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59</xdr:row>
          <xdr:rowOff>38100</xdr:rowOff>
        </xdr:from>
        <xdr:to>
          <xdr:col>34</xdr:col>
          <xdr:colOff>342900</xdr:colOff>
          <xdr:row>59</xdr:row>
          <xdr:rowOff>266700</xdr:rowOff>
        </xdr:to>
        <xdr:sp macro="" textlink="">
          <xdr:nvSpPr>
            <xdr:cNvPr id="5364" name="Check Box 1268" hidden="1">
              <a:extLst>
                <a:ext uri="{63B3BB69-23CF-44E3-9099-C40C66FF867C}">
                  <a14:compatExt spid="_x0000_s5364"/>
                </a:ext>
                <a:ext uri="{FF2B5EF4-FFF2-40B4-BE49-F238E27FC236}">
                  <a16:creationId xmlns:a16="http://schemas.microsoft.com/office/drawing/2014/main" id="{00000000-0008-0000-0000-0000F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59</xdr:row>
          <xdr:rowOff>38100</xdr:rowOff>
        </xdr:from>
        <xdr:to>
          <xdr:col>35</xdr:col>
          <xdr:colOff>342900</xdr:colOff>
          <xdr:row>59</xdr:row>
          <xdr:rowOff>266700</xdr:rowOff>
        </xdr:to>
        <xdr:sp macro="" textlink="">
          <xdr:nvSpPr>
            <xdr:cNvPr id="5365" name="Check Box 1269" hidden="1">
              <a:extLst>
                <a:ext uri="{63B3BB69-23CF-44E3-9099-C40C66FF867C}">
                  <a14:compatExt spid="_x0000_s5365"/>
                </a:ext>
                <a:ext uri="{FF2B5EF4-FFF2-40B4-BE49-F238E27FC236}">
                  <a16:creationId xmlns:a16="http://schemas.microsoft.com/office/drawing/2014/main" id="{00000000-0008-0000-0000-0000F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59</xdr:row>
          <xdr:rowOff>38100</xdr:rowOff>
        </xdr:from>
        <xdr:to>
          <xdr:col>36</xdr:col>
          <xdr:colOff>342900</xdr:colOff>
          <xdr:row>59</xdr:row>
          <xdr:rowOff>266700</xdr:rowOff>
        </xdr:to>
        <xdr:sp macro="" textlink="">
          <xdr:nvSpPr>
            <xdr:cNvPr id="5366" name="Check Box 1270" hidden="1">
              <a:extLst>
                <a:ext uri="{63B3BB69-23CF-44E3-9099-C40C66FF867C}">
                  <a14:compatExt spid="_x0000_s5366"/>
                </a:ext>
                <a:ext uri="{FF2B5EF4-FFF2-40B4-BE49-F238E27FC236}">
                  <a16:creationId xmlns:a16="http://schemas.microsoft.com/office/drawing/2014/main" id="{00000000-0008-0000-0000-0000F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59</xdr:row>
          <xdr:rowOff>38100</xdr:rowOff>
        </xdr:from>
        <xdr:to>
          <xdr:col>37</xdr:col>
          <xdr:colOff>342900</xdr:colOff>
          <xdr:row>59</xdr:row>
          <xdr:rowOff>266700</xdr:rowOff>
        </xdr:to>
        <xdr:sp macro="" textlink="">
          <xdr:nvSpPr>
            <xdr:cNvPr id="5367" name="Check Box 1271" hidden="1">
              <a:extLst>
                <a:ext uri="{63B3BB69-23CF-44E3-9099-C40C66FF867C}">
                  <a14:compatExt spid="_x0000_s5367"/>
                </a:ext>
                <a:ext uri="{FF2B5EF4-FFF2-40B4-BE49-F238E27FC236}">
                  <a16:creationId xmlns:a16="http://schemas.microsoft.com/office/drawing/2014/main" id="{00000000-0008-0000-0000-0000F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60</xdr:row>
          <xdr:rowOff>38100</xdr:rowOff>
        </xdr:from>
        <xdr:to>
          <xdr:col>7</xdr:col>
          <xdr:colOff>342900</xdr:colOff>
          <xdr:row>60</xdr:row>
          <xdr:rowOff>266700</xdr:rowOff>
        </xdr:to>
        <xdr:sp macro="" textlink="">
          <xdr:nvSpPr>
            <xdr:cNvPr id="5368" name="Check Box 1272" hidden="1">
              <a:extLst>
                <a:ext uri="{63B3BB69-23CF-44E3-9099-C40C66FF867C}">
                  <a14:compatExt spid="_x0000_s5368"/>
                </a:ext>
                <a:ext uri="{FF2B5EF4-FFF2-40B4-BE49-F238E27FC236}">
                  <a16:creationId xmlns:a16="http://schemas.microsoft.com/office/drawing/2014/main" id="{00000000-0008-0000-0000-0000F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60</xdr:row>
          <xdr:rowOff>38100</xdr:rowOff>
        </xdr:from>
        <xdr:to>
          <xdr:col>8</xdr:col>
          <xdr:colOff>342900</xdr:colOff>
          <xdr:row>60</xdr:row>
          <xdr:rowOff>266700</xdr:rowOff>
        </xdr:to>
        <xdr:sp macro="" textlink="">
          <xdr:nvSpPr>
            <xdr:cNvPr id="5369" name="Check Box 1273" hidden="1">
              <a:extLst>
                <a:ext uri="{63B3BB69-23CF-44E3-9099-C40C66FF867C}">
                  <a14:compatExt spid="_x0000_s5369"/>
                </a:ext>
                <a:ext uri="{FF2B5EF4-FFF2-40B4-BE49-F238E27FC236}">
                  <a16:creationId xmlns:a16="http://schemas.microsoft.com/office/drawing/2014/main" id="{00000000-0008-0000-0000-0000F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60</xdr:row>
          <xdr:rowOff>38100</xdr:rowOff>
        </xdr:from>
        <xdr:to>
          <xdr:col>9</xdr:col>
          <xdr:colOff>342900</xdr:colOff>
          <xdr:row>60</xdr:row>
          <xdr:rowOff>266700</xdr:rowOff>
        </xdr:to>
        <xdr:sp macro="" textlink="">
          <xdr:nvSpPr>
            <xdr:cNvPr id="5370" name="Check Box 1274" hidden="1">
              <a:extLst>
                <a:ext uri="{63B3BB69-23CF-44E3-9099-C40C66FF867C}">
                  <a14:compatExt spid="_x0000_s5370"/>
                </a:ext>
                <a:ext uri="{FF2B5EF4-FFF2-40B4-BE49-F238E27FC236}">
                  <a16:creationId xmlns:a16="http://schemas.microsoft.com/office/drawing/2014/main" id="{00000000-0008-0000-0000-0000F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60</xdr:row>
          <xdr:rowOff>38100</xdr:rowOff>
        </xdr:from>
        <xdr:to>
          <xdr:col>10</xdr:col>
          <xdr:colOff>342900</xdr:colOff>
          <xdr:row>60</xdr:row>
          <xdr:rowOff>266700</xdr:rowOff>
        </xdr:to>
        <xdr:sp macro="" textlink="">
          <xdr:nvSpPr>
            <xdr:cNvPr id="5371" name="Check Box 1275" hidden="1">
              <a:extLst>
                <a:ext uri="{63B3BB69-23CF-44E3-9099-C40C66FF867C}">
                  <a14:compatExt spid="_x0000_s5371"/>
                </a:ext>
                <a:ext uri="{FF2B5EF4-FFF2-40B4-BE49-F238E27FC236}">
                  <a16:creationId xmlns:a16="http://schemas.microsoft.com/office/drawing/2014/main" id="{00000000-0008-0000-0000-0000F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60</xdr:row>
          <xdr:rowOff>38100</xdr:rowOff>
        </xdr:from>
        <xdr:to>
          <xdr:col>11</xdr:col>
          <xdr:colOff>342900</xdr:colOff>
          <xdr:row>60</xdr:row>
          <xdr:rowOff>266700</xdr:rowOff>
        </xdr:to>
        <xdr:sp macro="" textlink="">
          <xdr:nvSpPr>
            <xdr:cNvPr id="5372" name="Check Box 1276" hidden="1">
              <a:extLst>
                <a:ext uri="{63B3BB69-23CF-44E3-9099-C40C66FF867C}">
                  <a14:compatExt spid="_x0000_s5372"/>
                </a:ext>
                <a:ext uri="{FF2B5EF4-FFF2-40B4-BE49-F238E27FC236}">
                  <a16:creationId xmlns:a16="http://schemas.microsoft.com/office/drawing/2014/main" id="{00000000-0008-0000-0000-0000F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60</xdr:row>
          <xdr:rowOff>38100</xdr:rowOff>
        </xdr:from>
        <xdr:to>
          <xdr:col>12</xdr:col>
          <xdr:colOff>342900</xdr:colOff>
          <xdr:row>60</xdr:row>
          <xdr:rowOff>266700</xdr:rowOff>
        </xdr:to>
        <xdr:sp macro="" textlink="">
          <xdr:nvSpPr>
            <xdr:cNvPr id="5373" name="Check Box 1277" hidden="1">
              <a:extLst>
                <a:ext uri="{63B3BB69-23CF-44E3-9099-C40C66FF867C}">
                  <a14:compatExt spid="_x0000_s5373"/>
                </a:ext>
                <a:ext uri="{FF2B5EF4-FFF2-40B4-BE49-F238E27FC236}">
                  <a16:creationId xmlns:a16="http://schemas.microsoft.com/office/drawing/2014/main" id="{00000000-0008-0000-0000-0000F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60</xdr:row>
          <xdr:rowOff>38100</xdr:rowOff>
        </xdr:from>
        <xdr:to>
          <xdr:col>13</xdr:col>
          <xdr:colOff>342900</xdr:colOff>
          <xdr:row>60</xdr:row>
          <xdr:rowOff>266700</xdr:rowOff>
        </xdr:to>
        <xdr:sp macro="" textlink="">
          <xdr:nvSpPr>
            <xdr:cNvPr id="5374" name="Check Box 1278" hidden="1">
              <a:extLst>
                <a:ext uri="{63B3BB69-23CF-44E3-9099-C40C66FF867C}">
                  <a14:compatExt spid="_x0000_s5374"/>
                </a:ext>
                <a:ext uri="{FF2B5EF4-FFF2-40B4-BE49-F238E27FC236}">
                  <a16:creationId xmlns:a16="http://schemas.microsoft.com/office/drawing/2014/main" id="{00000000-0008-0000-0000-0000F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60</xdr:row>
          <xdr:rowOff>38100</xdr:rowOff>
        </xdr:from>
        <xdr:to>
          <xdr:col>14</xdr:col>
          <xdr:colOff>342900</xdr:colOff>
          <xdr:row>60</xdr:row>
          <xdr:rowOff>266700</xdr:rowOff>
        </xdr:to>
        <xdr:sp macro="" textlink="">
          <xdr:nvSpPr>
            <xdr:cNvPr id="5375" name="Check Box 1279" hidden="1">
              <a:extLst>
                <a:ext uri="{63B3BB69-23CF-44E3-9099-C40C66FF867C}">
                  <a14:compatExt spid="_x0000_s5375"/>
                </a:ext>
                <a:ext uri="{FF2B5EF4-FFF2-40B4-BE49-F238E27FC236}">
                  <a16:creationId xmlns:a16="http://schemas.microsoft.com/office/drawing/2014/main" id="{00000000-0008-0000-0000-0000F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60</xdr:row>
          <xdr:rowOff>38100</xdr:rowOff>
        </xdr:from>
        <xdr:to>
          <xdr:col>15</xdr:col>
          <xdr:colOff>342900</xdr:colOff>
          <xdr:row>60</xdr:row>
          <xdr:rowOff>266700</xdr:rowOff>
        </xdr:to>
        <xdr:sp macro="" textlink="">
          <xdr:nvSpPr>
            <xdr:cNvPr id="5376" name="Check Box 1280" hidden="1">
              <a:extLst>
                <a:ext uri="{63B3BB69-23CF-44E3-9099-C40C66FF867C}">
                  <a14:compatExt spid="_x0000_s5376"/>
                </a:ext>
                <a:ext uri="{FF2B5EF4-FFF2-40B4-BE49-F238E27FC236}">
                  <a16:creationId xmlns:a16="http://schemas.microsoft.com/office/drawing/2014/main" id="{00000000-0008-0000-0000-00000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60</xdr:row>
          <xdr:rowOff>38100</xdr:rowOff>
        </xdr:from>
        <xdr:to>
          <xdr:col>16</xdr:col>
          <xdr:colOff>342900</xdr:colOff>
          <xdr:row>60</xdr:row>
          <xdr:rowOff>266700</xdr:rowOff>
        </xdr:to>
        <xdr:sp macro="" textlink="">
          <xdr:nvSpPr>
            <xdr:cNvPr id="5377" name="Check Box 1281" hidden="1">
              <a:extLst>
                <a:ext uri="{63B3BB69-23CF-44E3-9099-C40C66FF867C}">
                  <a14:compatExt spid="_x0000_s5377"/>
                </a:ext>
                <a:ext uri="{FF2B5EF4-FFF2-40B4-BE49-F238E27FC236}">
                  <a16:creationId xmlns:a16="http://schemas.microsoft.com/office/drawing/2014/main" id="{00000000-0008-0000-0000-00000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60</xdr:row>
          <xdr:rowOff>38100</xdr:rowOff>
        </xdr:from>
        <xdr:to>
          <xdr:col>17</xdr:col>
          <xdr:colOff>342900</xdr:colOff>
          <xdr:row>60</xdr:row>
          <xdr:rowOff>266700</xdr:rowOff>
        </xdr:to>
        <xdr:sp macro="" textlink="">
          <xdr:nvSpPr>
            <xdr:cNvPr id="5378" name="Check Box 1282" hidden="1">
              <a:extLst>
                <a:ext uri="{63B3BB69-23CF-44E3-9099-C40C66FF867C}">
                  <a14:compatExt spid="_x0000_s5378"/>
                </a:ext>
                <a:ext uri="{FF2B5EF4-FFF2-40B4-BE49-F238E27FC236}">
                  <a16:creationId xmlns:a16="http://schemas.microsoft.com/office/drawing/2014/main" id="{00000000-0008-0000-0000-00000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60</xdr:row>
          <xdr:rowOff>38100</xdr:rowOff>
        </xdr:from>
        <xdr:to>
          <xdr:col>18</xdr:col>
          <xdr:colOff>342900</xdr:colOff>
          <xdr:row>60</xdr:row>
          <xdr:rowOff>266700</xdr:rowOff>
        </xdr:to>
        <xdr:sp macro="" textlink="">
          <xdr:nvSpPr>
            <xdr:cNvPr id="5379" name="Check Box 1283" hidden="1">
              <a:extLst>
                <a:ext uri="{63B3BB69-23CF-44E3-9099-C40C66FF867C}">
                  <a14:compatExt spid="_x0000_s5379"/>
                </a:ext>
                <a:ext uri="{FF2B5EF4-FFF2-40B4-BE49-F238E27FC236}">
                  <a16:creationId xmlns:a16="http://schemas.microsoft.com/office/drawing/2014/main" id="{00000000-0008-0000-0000-00000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60</xdr:row>
          <xdr:rowOff>38100</xdr:rowOff>
        </xdr:from>
        <xdr:to>
          <xdr:col>19</xdr:col>
          <xdr:colOff>342900</xdr:colOff>
          <xdr:row>60</xdr:row>
          <xdr:rowOff>266700</xdr:rowOff>
        </xdr:to>
        <xdr:sp macro="" textlink="">
          <xdr:nvSpPr>
            <xdr:cNvPr id="5380" name="Check Box 1284" hidden="1">
              <a:extLst>
                <a:ext uri="{63B3BB69-23CF-44E3-9099-C40C66FF867C}">
                  <a14:compatExt spid="_x0000_s5380"/>
                </a:ext>
                <a:ext uri="{FF2B5EF4-FFF2-40B4-BE49-F238E27FC236}">
                  <a16:creationId xmlns:a16="http://schemas.microsoft.com/office/drawing/2014/main" id="{00000000-0008-0000-0000-00000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60</xdr:row>
          <xdr:rowOff>38100</xdr:rowOff>
        </xdr:from>
        <xdr:to>
          <xdr:col>20</xdr:col>
          <xdr:colOff>342900</xdr:colOff>
          <xdr:row>60</xdr:row>
          <xdr:rowOff>266700</xdr:rowOff>
        </xdr:to>
        <xdr:sp macro="" textlink="">
          <xdr:nvSpPr>
            <xdr:cNvPr id="5381" name="Check Box 1285" hidden="1">
              <a:extLst>
                <a:ext uri="{63B3BB69-23CF-44E3-9099-C40C66FF867C}">
                  <a14:compatExt spid="_x0000_s5381"/>
                </a:ext>
                <a:ext uri="{FF2B5EF4-FFF2-40B4-BE49-F238E27FC236}">
                  <a16:creationId xmlns:a16="http://schemas.microsoft.com/office/drawing/2014/main" id="{00000000-0008-0000-0000-00000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60</xdr:row>
          <xdr:rowOff>38100</xdr:rowOff>
        </xdr:from>
        <xdr:to>
          <xdr:col>21</xdr:col>
          <xdr:colOff>342900</xdr:colOff>
          <xdr:row>60</xdr:row>
          <xdr:rowOff>266700</xdr:rowOff>
        </xdr:to>
        <xdr:sp macro="" textlink="">
          <xdr:nvSpPr>
            <xdr:cNvPr id="5382" name="Check Box 1286" hidden="1">
              <a:extLst>
                <a:ext uri="{63B3BB69-23CF-44E3-9099-C40C66FF867C}">
                  <a14:compatExt spid="_x0000_s5382"/>
                </a:ext>
                <a:ext uri="{FF2B5EF4-FFF2-40B4-BE49-F238E27FC236}">
                  <a16:creationId xmlns:a16="http://schemas.microsoft.com/office/drawing/2014/main" id="{00000000-0008-0000-0000-00000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60</xdr:row>
          <xdr:rowOff>38100</xdr:rowOff>
        </xdr:from>
        <xdr:to>
          <xdr:col>22</xdr:col>
          <xdr:colOff>342900</xdr:colOff>
          <xdr:row>60</xdr:row>
          <xdr:rowOff>266700</xdr:rowOff>
        </xdr:to>
        <xdr:sp macro="" textlink="">
          <xdr:nvSpPr>
            <xdr:cNvPr id="5383" name="Check Box 1287" hidden="1">
              <a:extLst>
                <a:ext uri="{63B3BB69-23CF-44E3-9099-C40C66FF867C}">
                  <a14:compatExt spid="_x0000_s5383"/>
                </a:ext>
                <a:ext uri="{FF2B5EF4-FFF2-40B4-BE49-F238E27FC236}">
                  <a16:creationId xmlns:a16="http://schemas.microsoft.com/office/drawing/2014/main" id="{00000000-0008-0000-0000-00000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60</xdr:row>
          <xdr:rowOff>38100</xdr:rowOff>
        </xdr:from>
        <xdr:to>
          <xdr:col>23</xdr:col>
          <xdr:colOff>342900</xdr:colOff>
          <xdr:row>60</xdr:row>
          <xdr:rowOff>266700</xdr:rowOff>
        </xdr:to>
        <xdr:sp macro="" textlink="">
          <xdr:nvSpPr>
            <xdr:cNvPr id="5384" name="Check Box 1288" hidden="1">
              <a:extLst>
                <a:ext uri="{63B3BB69-23CF-44E3-9099-C40C66FF867C}">
                  <a14:compatExt spid="_x0000_s5384"/>
                </a:ext>
                <a:ext uri="{FF2B5EF4-FFF2-40B4-BE49-F238E27FC236}">
                  <a16:creationId xmlns:a16="http://schemas.microsoft.com/office/drawing/2014/main" id="{00000000-0008-0000-0000-00000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60</xdr:row>
          <xdr:rowOff>38100</xdr:rowOff>
        </xdr:from>
        <xdr:to>
          <xdr:col>24</xdr:col>
          <xdr:colOff>342900</xdr:colOff>
          <xdr:row>60</xdr:row>
          <xdr:rowOff>266700</xdr:rowOff>
        </xdr:to>
        <xdr:sp macro="" textlink="">
          <xdr:nvSpPr>
            <xdr:cNvPr id="5385" name="Check Box 1289" hidden="1">
              <a:extLst>
                <a:ext uri="{63B3BB69-23CF-44E3-9099-C40C66FF867C}">
                  <a14:compatExt spid="_x0000_s5385"/>
                </a:ext>
                <a:ext uri="{FF2B5EF4-FFF2-40B4-BE49-F238E27FC236}">
                  <a16:creationId xmlns:a16="http://schemas.microsoft.com/office/drawing/2014/main" id="{00000000-0008-0000-0000-00000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60</xdr:row>
          <xdr:rowOff>38100</xdr:rowOff>
        </xdr:from>
        <xdr:to>
          <xdr:col>25</xdr:col>
          <xdr:colOff>342900</xdr:colOff>
          <xdr:row>60</xdr:row>
          <xdr:rowOff>266700</xdr:rowOff>
        </xdr:to>
        <xdr:sp macro="" textlink="">
          <xdr:nvSpPr>
            <xdr:cNvPr id="5386" name="Check Box 1290" hidden="1">
              <a:extLst>
                <a:ext uri="{63B3BB69-23CF-44E3-9099-C40C66FF867C}">
                  <a14:compatExt spid="_x0000_s5386"/>
                </a:ext>
                <a:ext uri="{FF2B5EF4-FFF2-40B4-BE49-F238E27FC236}">
                  <a16:creationId xmlns:a16="http://schemas.microsoft.com/office/drawing/2014/main" id="{00000000-0008-0000-0000-00000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60</xdr:row>
          <xdr:rowOff>38100</xdr:rowOff>
        </xdr:from>
        <xdr:to>
          <xdr:col>26</xdr:col>
          <xdr:colOff>342900</xdr:colOff>
          <xdr:row>60</xdr:row>
          <xdr:rowOff>266700</xdr:rowOff>
        </xdr:to>
        <xdr:sp macro="" textlink="">
          <xdr:nvSpPr>
            <xdr:cNvPr id="5387" name="Check Box 1291" hidden="1">
              <a:extLst>
                <a:ext uri="{63B3BB69-23CF-44E3-9099-C40C66FF867C}">
                  <a14:compatExt spid="_x0000_s5387"/>
                </a:ext>
                <a:ext uri="{FF2B5EF4-FFF2-40B4-BE49-F238E27FC236}">
                  <a16:creationId xmlns:a16="http://schemas.microsoft.com/office/drawing/2014/main" id="{00000000-0008-0000-0000-00000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60</xdr:row>
          <xdr:rowOff>38100</xdr:rowOff>
        </xdr:from>
        <xdr:to>
          <xdr:col>27</xdr:col>
          <xdr:colOff>342900</xdr:colOff>
          <xdr:row>60</xdr:row>
          <xdr:rowOff>266700</xdr:rowOff>
        </xdr:to>
        <xdr:sp macro="" textlink="">
          <xdr:nvSpPr>
            <xdr:cNvPr id="5388" name="Check Box 1292" hidden="1">
              <a:extLst>
                <a:ext uri="{63B3BB69-23CF-44E3-9099-C40C66FF867C}">
                  <a14:compatExt spid="_x0000_s5388"/>
                </a:ext>
                <a:ext uri="{FF2B5EF4-FFF2-40B4-BE49-F238E27FC236}">
                  <a16:creationId xmlns:a16="http://schemas.microsoft.com/office/drawing/2014/main" id="{00000000-0008-0000-0000-00000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60</xdr:row>
          <xdr:rowOff>38100</xdr:rowOff>
        </xdr:from>
        <xdr:to>
          <xdr:col>28</xdr:col>
          <xdr:colOff>342900</xdr:colOff>
          <xdr:row>60</xdr:row>
          <xdr:rowOff>266700</xdr:rowOff>
        </xdr:to>
        <xdr:sp macro="" textlink="">
          <xdr:nvSpPr>
            <xdr:cNvPr id="5389" name="Check Box 1293" hidden="1">
              <a:extLst>
                <a:ext uri="{63B3BB69-23CF-44E3-9099-C40C66FF867C}">
                  <a14:compatExt spid="_x0000_s5389"/>
                </a:ext>
                <a:ext uri="{FF2B5EF4-FFF2-40B4-BE49-F238E27FC236}">
                  <a16:creationId xmlns:a16="http://schemas.microsoft.com/office/drawing/2014/main" id="{00000000-0008-0000-0000-00000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60</xdr:row>
          <xdr:rowOff>38100</xdr:rowOff>
        </xdr:from>
        <xdr:to>
          <xdr:col>29</xdr:col>
          <xdr:colOff>342900</xdr:colOff>
          <xdr:row>60</xdr:row>
          <xdr:rowOff>266700</xdr:rowOff>
        </xdr:to>
        <xdr:sp macro="" textlink="">
          <xdr:nvSpPr>
            <xdr:cNvPr id="5390" name="Check Box 1294" hidden="1">
              <a:extLst>
                <a:ext uri="{63B3BB69-23CF-44E3-9099-C40C66FF867C}">
                  <a14:compatExt spid="_x0000_s5390"/>
                </a:ext>
                <a:ext uri="{FF2B5EF4-FFF2-40B4-BE49-F238E27FC236}">
                  <a16:creationId xmlns:a16="http://schemas.microsoft.com/office/drawing/2014/main" id="{00000000-0008-0000-0000-00000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60</xdr:row>
          <xdr:rowOff>38100</xdr:rowOff>
        </xdr:from>
        <xdr:to>
          <xdr:col>30</xdr:col>
          <xdr:colOff>342900</xdr:colOff>
          <xdr:row>60</xdr:row>
          <xdr:rowOff>266700</xdr:rowOff>
        </xdr:to>
        <xdr:sp macro="" textlink="">
          <xdr:nvSpPr>
            <xdr:cNvPr id="5391" name="Check Box 1295" hidden="1">
              <a:extLst>
                <a:ext uri="{63B3BB69-23CF-44E3-9099-C40C66FF867C}">
                  <a14:compatExt spid="_x0000_s5391"/>
                </a:ext>
                <a:ext uri="{FF2B5EF4-FFF2-40B4-BE49-F238E27FC236}">
                  <a16:creationId xmlns:a16="http://schemas.microsoft.com/office/drawing/2014/main" id="{00000000-0008-0000-0000-00000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60</xdr:row>
          <xdr:rowOff>38100</xdr:rowOff>
        </xdr:from>
        <xdr:to>
          <xdr:col>31</xdr:col>
          <xdr:colOff>342900</xdr:colOff>
          <xdr:row>60</xdr:row>
          <xdr:rowOff>266700</xdr:rowOff>
        </xdr:to>
        <xdr:sp macro="" textlink="">
          <xdr:nvSpPr>
            <xdr:cNvPr id="5392" name="Check Box 1296" hidden="1">
              <a:extLst>
                <a:ext uri="{63B3BB69-23CF-44E3-9099-C40C66FF867C}">
                  <a14:compatExt spid="_x0000_s5392"/>
                </a:ext>
                <a:ext uri="{FF2B5EF4-FFF2-40B4-BE49-F238E27FC236}">
                  <a16:creationId xmlns:a16="http://schemas.microsoft.com/office/drawing/2014/main" id="{00000000-0008-0000-0000-00001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60</xdr:row>
          <xdr:rowOff>38100</xdr:rowOff>
        </xdr:from>
        <xdr:to>
          <xdr:col>32</xdr:col>
          <xdr:colOff>342900</xdr:colOff>
          <xdr:row>60</xdr:row>
          <xdr:rowOff>266700</xdr:rowOff>
        </xdr:to>
        <xdr:sp macro="" textlink="">
          <xdr:nvSpPr>
            <xdr:cNvPr id="5393" name="Check Box 1297" hidden="1">
              <a:extLst>
                <a:ext uri="{63B3BB69-23CF-44E3-9099-C40C66FF867C}">
                  <a14:compatExt spid="_x0000_s5393"/>
                </a:ext>
                <a:ext uri="{FF2B5EF4-FFF2-40B4-BE49-F238E27FC236}">
                  <a16:creationId xmlns:a16="http://schemas.microsoft.com/office/drawing/2014/main" id="{00000000-0008-0000-0000-00001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60</xdr:row>
          <xdr:rowOff>38100</xdr:rowOff>
        </xdr:from>
        <xdr:to>
          <xdr:col>33</xdr:col>
          <xdr:colOff>342900</xdr:colOff>
          <xdr:row>60</xdr:row>
          <xdr:rowOff>266700</xdr:rowOff>
        </xdr:to>
        <xdr:sp macro="" textlink="">
          <xdr:nvSpPr>
            <xdr:cNvPr id="5394" name="Check Box 1298" hidden="1">
              <a:extLst>
                <a:ext uri="{63B3BB69-23CF-44E3-9099-C40C66FF867C}">
                  <a14:compatExt spid="_x0000_s5394"/>
                </a:ext>
                <a:ext uri="{FF2B5EF4-FFF2-40B4-BE49-F238E27FC236}">
                  <a16:creationId xmlns:a16="http://schemas.microsoft.com/office/drawing/2014/main" id="{00000000-0008-0000-0000-00001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60</xdr:row>
          <xdr:rowOff>38100</xdr:rowOff>
        </xdr:from>
        <xdr:to>
          <xdr:col>34</xdr:col>
          <xdr:colOff>342900</xdr:colOff>
          <xdr:row>60</xdr:row>
          <xdr:rowOff>266700</xdr:rowOff>
        </xdr:to>
        <xdr:sp macro="" textlink="">
          <xdr:nvSpPr>
            <xdr:cNvPr id="5395" name="Check Box 1299" hidden="1">
              <a:extLst>
                <a:ext uri="{63B3BB69-23CF-44E3-9099-C40C66FF867C}">
                  <a14:compatExt spid="_x0000_s5395"/>
                </a:ext>
                <a:ext uri="{FF2B5EF4-FFF2-40B4-BE49-F238E27FC236}">
                  <a16:creationId xmlns:a16="http://schemas.microsoft.com/office/drawing/2014/main" id="{00000000-0008-0000-0000-00001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60</xdr:row>
          <xdr:rowOff>38100</xdr:rowOff>
        </xdr:from>
        <xdr:to>
          <xdr:col>35</xdr:col>
          <xdr:colOff>342900</xdr:colOff>
          <xdr:row>60</xdr:row>
          <xdr:rowOff>266700</xdr:rowOff>
        </xdr:to>
        <xdr:sp macro="" textlink="">
          <xdr:nvSpPr>
            <xdr:cNvPr id="5396" name="Check Box 1300" hidden="1">
              <a:extLst>
                <a:ext uri="{63B3BB69-23CF-44E3-9099-C40C66FF867C}">
                  <a14:compatExt spid="_x0000_s5396"/>
                </a:ext>
                <a:ext uri="{FF2B5EF4-FFF2-40B4-BE49-F238E27FC236}">
                  <a16:creationId xmlns:a16="http://schemas.microsoft.com/office/drawing/2014/main" id="{00000000-0008-0000-0000-00001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60</xdr:row>
          <xdr:rowOff>38100</xdr:rowOff>
        </xdr:from>
        <xdr:to>
          <xdr:col>36</xdr:col>
          <xdr:colOff>342900</xdr:colOff>
          <xdr:row>60</xdr:row>
          <xdr:rowOff>266700</xdr:rowOff>
        </xdr:to>
        <xdr:sp macro="" textlink="">
          <xdr:nvSpPr>
            <xdr:cNvPr id="5397" name="Check Box 1301" hidden="1">
              <a:extLst>
                <a:ext uri="{63B3BB69-23CF-44E3-9099-C40C66FF867C}">
                  <a14:compatExt spid="_x0000_s5397"/>
                </a:ext>
                <a:ext uri="{FF2B5EF4-FFF2-40B4-BE49-F238E27FC236}">
                  <a16:creationId xmlns:a16="http://schemas.microsoft.com/office/drawing/2014/main" id="{00000000-0008-0000-0000-00001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60</xdr:row>
          <xdr:rowOff>38100</xdr:rowOff>
        </xdr:from>
        <xdr:to>
          <xdr:col>37</xdr:col>
          <xdr:colOff>342900</xdr:colOff>
          <xdr:row>60</xdr:row>
          <xdr:rowOff>266700</xdr:rowOff>
        </xdr:to>
        <xdr:sp macro="" textlink="">
          <xdr:nvSpPr>
            <xdr:cNvPr id="5398" name="Check Box 1302" hidden="1">
              <a:extLst>
                <a:ext uri="{63B3BB69-23CF-44E3-9099-C40C66FF867C}">
                  <a14:compatExt spid="_x0000_s5398"/>
                </a:ext>
                <a:ext uri="{FF2B5EF4-FFF2-40B4-BE49-F238E27FC236}">
                  <a16:creationId xmlns:a16="http://schemas.microsoft.com/office/drawing/2014/main" id="{00000000-0008-0000-0000-00001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61</xdr:row>
          <xdr:rowOff>38100</xdr:rowOff>
        </xdr:from>
        <xdr:to>
          <xdr:col>7</xdr:col>
          <xdr:colOff>342900</xdr:colOff>
          <xdr:row>61</xdr:row>
          <xdr:rowOff>266700</xdr:rowOff>
        </xdr:to>
        <xdr:sp macro="" textlink="">
          <xdr:nvSpPr>
            <xdr:cNvPr id="5399" name="Check Box 1303" hidden="1">
              <a:extLst>
                <a:ext uri="{63B3BB69-23CF-44E3-9099-C40C66FF867C}">
                  <a14:compatExt spid="_x0000_s5399"/>
                </a:ext>
                <a:ext uri="{FF2B5EF4-FFF2-40B4-BE49-F238E27FC236}">
                  <a16:creationId xmlns:a16="http://schemas.microsoft.com/office/drawing/2014/main" id="{00000000-0008-0000-0000-00001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61</xdr:row>
          <xdr:rowOff>38100</xdr:rowOff>
        </xdr:from>
        <xdr:to>
          <xdr:col>8</xdr:col>
          <xdr:colOff>342900</xdr:colOff>
          <xdr:row>61</xdr:row>
          <xdr:rowOff>266700</xdr:rowOff>
        </xdr:to>
        <xdr:sp macro="" textlink="">
          <xdr:nvSpPr>
            <xdr:cNvPr id="5400" name="Check Box 1304" hidden="1">
              <a:extLst>
                <a:ext uri="{63B3BB69-23CF-44E3-9099-C40C66FF867C}">
                  <a14:compatExt spid="_x0000_s5400"/>
                </a:ext>
                <a:ext uri="{FF2B5EF4-FFF2-40B4-BE49-F238E27FC236}">
                  <a16:creationId xmlns:a16="http://schemas.microsoft.com/office/drawing/2014/main" id="{00000000-0008-0000-0000-00001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61</xdr:row>
          <xdr:rowOff>38100</xdr:rowOff>
        </xdr:from>
        <xdr:to>
          <xdr:col>9</xdr:col>
          <xdr:colOff>342900</xdr:colOff>
          <xdr:row>61</xdr:row>
          <xdr:rowOff>266700</xdr:rowOff>
        </xdr:to>
        <xdr:sp macro="" textlink="">
          <xdr:nvSpPr>
            <xdr:cNvPr id="5401" name="Check Box 1305" hidden="1">
              <a:extLst>
                <a:ext uri="{63B3BB69-23CF-44E3-9099-C40C66FF867C}">
                  <a14:compatExt spid="_x0000_s5401"/>
                </a:ext>
                <a:ext uri="{FF2B5EF4-FFF2-40B4-BE49-F238E27FC236}">
                  <a16:creationId xmlns:a16="http://schemas.microsoft.com/office/drawing/2014/main" id="{00000000-0008-0000-0000-00001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61</xdr:row>
          <xdr:rowOff>38100</xdr:rowOff>
        </xdr:from>
        <xdr:to>
          <xdr:col>10</xdr:col>
          <xdr:colOff>342900</xdr:colOff>
          <xdr:row>61</xdr:row>
          <xdr:rowOff>266700</xdr:rowOff>
        </xdr:to>
        <xdr:sp macro="" textlink="">
          <xdr:nvSpPr>
            <xdr:cNvPr id="5402" name="Check Box 1306" hidden="1">
              <a:extLst>
                <a:ext uri="{63B3BB69-23CF-44E3-9099-C40C66FF867C}">
                  <a14:compatExt spid="_x0000_s5402"/>
                </a:ext>
                <a:ext uri="{FF2B5EF4-FFF2-40B4-BE49-F238E27FC236}">
                  <a16:creationId xmlns:a16="http://schemas.microsoft.com/office/drawing/2014/main" id="{00000000-0008-0000-0000-00001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61</xdr:row>
          <xdr:rowOff>38100</xdr:rowOff>
        </xdr:from>
        <xdr:to>
          <xdr:col>11</xdr:col>
          <xdr:colOff>342900</xdr:colOff>
          <xdr:row>61</xdr:row>
          <xdr:rowOff>266700</xdr:rowOff>
        </xdr:to>
        <xdr:sp macro="" textlink="">
          <xdr:nvSpPr>
            <xdr:cNvPr id="5403" name="Check Box 1307" hidden="1">
              <a:extLst>
                <a:ext uri="{63B3BB69-23CF-44E3-9099-C40C66FF867C}">
                  <a14:compatExt spid="_x0000_s5403"/>
                </a:ext>
                <a:ext uri="{FF2B5EF4-FFF2-40B4-BE49-F238E27FC236}">
                  <a16:creationId xmlns:a16="http://schemas.microsoft.com/office/drawing/2014/main" id="{00000000-0008-0000-0000-00001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61</xdr:row>
          <xdr:rowOff>38100</xdr:rowOff>
        </xdr:from>
        <xdr:to>
          <xdr:col>12</xdr:col>
          <xdr:colOff>342900</xdr:colOff>
          <xdr:row>61</xdr:row>
          <xdr:rowOff>266700</xdr:rowOff>
        </xdr:to>
        <xdr:sp macro="" textlink="">
          <xdr:nvSpPr>
            <xdr:cNvPr id="5404" name="Check Box 1308" hidden="1">
              <a:extLst>
                <a:ext uri="{63B3BB69-23CF-44E3-9099-C40C66FF867C}">
                  <a14:compatExt spid="_x0000_s5404"/>
                </a:ext>
                <a:ext uri="{FF2B5EF4-FFF2-40B4-BE49-F238E27FC236}">
                  <a16:creationId xmlns:a16="http://schemas.microsoft.com/office/drawing/2014/main" id="{00000000-0008-0000-0000-00001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61</xdr:row>
          <xdr:rowOff>38100</xdr:rowOff>
        </xdr:from>
        <xdr:to>
          <xdr:col>13</xdr:col>
          <xdr:colOff>342900</xdr:colOff>
          <xdr:row>61</xdr:row>
          <xdr:rowOff>266700</xdr:rowOff>
        </xdr:to>
        <xdr:sp macro="" textlink="">
          <xdr:nvSpPr>
            <xdr:cNvPr id="5405" name="Check Box 1309" hidden="1">
              <a:extLst>
                <a:ext uri="{63B3BB69-23CF-44E3-9099-C40C66FF867C}">
                  <a14:compatExt spid="_x0000_s5405"/>
                </a:ext>
                <a:ext uri="{FF2B5EF4-FFF2-40B4-BE49-F238E27FC236}">
                  <a16:creationId xmlns:a16="http://schemas.microsoft.com/office/drawing/2014/main" id="{00000000-0008-0000-0000-00001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61</xdr:row>
          <xdr:rowOff>38100</xdr:rowOff>
        </xdr:from>
        <xdr:to>
          <xdr:col>14</xdr:col>
          <xdr:colOff>342900</xdr:colOff>
          <xdr:row>61</xdr:row>
          <xdr:rowOff>266700</xdr:rowOff>
        </xdr:to>
        <xdr:sp macro="" textlink="">
          <xdr:nvSpPr>
            <xdr:cNvPr id="5406" name="Check Box 1310" hidden="1">
              <a:extLst>
                <a:ext uri="{63B3BB69-23CF-44E3-9099-C40C66FF867C}">
                  <a14:compatExt spid="_x0000_s5406"/>
                </a:ext>
                <a:ext uri="{FF2B5EF4-FFF2-40B4-BE49-F238E27FC236}">
                  <a16:creationId xmlns:a16="http://schemas.microsoft.com/office/drawing/2014/main" id="{00000000-0008-0000-0000-00001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61</xdr:row>
          <xdr:rowOff>38100</xdr:rowOff>
        </xdr:from>
        <xdr:to>
          <xdr:col>15</xdr:col>
          <xdr:colOff>342900</xdr:colOff>
          <xdr:row>61</xdr:row>
          <xdr:rowOff>266700</xdr:rowOff>
        </xdr:to>
        <xdr:sp macro="" textlink="">
          <xdr:nvSpPr>
            <xdr:cNvPr id="5407" name="Check Box 1311" hidden="1">
              <a:extLst>
                <a:ext uri="{63B3BB69-23CF-44E3-9099-C40C66FF867C}">
                  <a14:compatExt spid="_x0000_s5407"/>
                </a:ext>
                <a:ext uri="{FF2B5EF4-FFF2-40B4-BE49-F238E27FC236}">
                  <a16:creationId xmlns:a16="http://schemas.microsoft.com/office/drawing/2014/main" id="{00000000-0008-0000-0000-00001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61</xdr:row>
          <xdr:rowOff>38100</xdr:rowOff>
        </xdr:from>
        <xdr:to>
          <xdr:col>16</xdr:col>
          <xdr:colOff>342900</xdr:colOff>
          <xdr:row>61</xdr:row>
          <xdr:rowOff>266700</xdr:rowOff>
        </xdr:to>
        <xdr:sp macro="" textlink="">
          <xdr:nvSpPr>
            <xdr:cNvPr id="5408" name="Check Box 1312" hidden="1">
              <a:extLst>
                <a:ext uri="{63B3BB69-23CF-44E3-9099-C40C66FF867C}">
                  <a14:compatExt spid="_x0000_s5408"/>
                </a:ext>
                <a:ext uri="{FF2B5EF4-FFF2-40B4-BE49-F238E27FC236}">
                  <a16:creationId xmlns:a16="http://schemas.microsoft.com/office/drawing/2014/main" id="{00000000-0008-0000-0000-00002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61</xdr:row>
          <xdr:rowOff>38100</xdr:rowOff>
        </xdr:from>
        <xdr:to>
          <xdr:col>17</xdr:col>
          <xdr:colOff>342900</xdr:colOff>
          <xdr:row>61</xdr:row>
          <xdr:rowOff>266700</xdr:rowOff>
        </xdr:to>
        <xdr:sp macro="" textlink="">
          <xdr:nvSpPr>
            <xdr:cNvPr id="5409" name="Check Box 1313" hidden="1">
              <a:extLst>
                <a:ext uri="{63B3BB69-23CF-44E3-9099-C40C66FF867C}">
                  <a14:compatExt spid="_x0000_s5409"/>
                </a:ext>
                <a:ext uri="{FF2B5EF4-FFF2-40B4-BE49-F238E27FC236}">
                  <a16:creationId xmlns:a16="http://schemas.microsoft.com/office/drawing/2014/main" id="{00000000-0008-0000-0000-00002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61</xdr:row>
          <xdr:rowOff>38100</xdr:rowOff>
        </xdr:from>
        <xdr:to>
          <xdr:col>18</xdr:col>
          <xdr:colOff>342900</xdr:colOff>
          <xdr:row>61</xdr:row>
          <xdr:rowOff>266700</xdr:rowOff>
        </xdr:to>
        <xdr:sp macro="" textlink="">
          <xdr:nvSpPr>
            <xdr:cNvPr id="5410" name="Check Box 1314" hidden="1">
              <a:extLst>
                <a:ext uri="{63B3BB69-23CF-44E3-9099-C40C66FF867C}">
                  <a14:compatExt spid="_x0000_s5410"/>
                </a:ext>
                <a:ext uri="{FF2B5EF4-FFF2-40B4-BE49-F238E27FC236}">
                  <a16:creationId xmlns:a16="http://schemas.microsoft.com/office/drawing/2014/main" id="{00000000-0008-0000-0000-00002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61</xdr:row>
          <xdr:rowOff>38100</xdr:rowOff>
        </xdr:from>
        <xdr:to>
          <xdr:col>19</xdr:col>
          <xdr:colOff>342900</xdr:colOff>
          <xdr:row>61</xdr:row>
          <xdr:rowOff>266700</xdr:rowOff>
        </xdr:to>
        <xdr:sp macro="" textlink="">
          <xdr:nvSpPr>
            <xdr:cNvPr id="5411" name="Check Box 1315" hidden="1">
              <a:extLst>
                <a:ext uri="{63B3BB69-23CF-44E3-9099-C40C66FF867C}">
                  <a14:compatExt spid="_x0000_s5411"/>
                </a:ext>
                <a:ext uri="{FF2B5EF4-FFF2-40B4-BE49-F238E27FC236}">
                  <a16:creationId xmlns:a16="http://schemas.microsoft.com/office/drawing/2014/main" id="{00000000-0008-0000-0000-00002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61</xdr:row>
          <xdr:rowOff>38100</xdr:rowOff>
        </xdr:from>
        <xdr:to>
          <xdr:col>20</xdr:col>
          <xdr:colOff>342900</xdr:colOff>
          <xdr:row>61</xdr:row>
          <xdr:rowOff>266700</xdr:rowOff>
        </xdr:to>
        <xdr:sp macro="" textlink="">
          <xdr:nvSpPr>
            <xdr:cNvPr id="5412" name="Check Box 1316" hidden="1">
              <a:extLst>
                <a:ext uri="{63B3BB69-23CF-44E3-9099-C40C66FF867C}">
                  <a14:compatExt spid="_x0000_s5412"/>
                </a:ext>
                <a:ext uri="{FF2B5EF4-FFF2-40B4-BE49-F238E27FC236}">
                  <a16:creationId xmlns:a16="http://schemas.microsoft.com/office/drawing/2014/main" id="{00000000-0008-0000-0000-00002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61</xdr:row>
          <xdr:rowOff>38100</xdr:rowOff>
        </xdr:from>
        <xdr:to>
          <xdr:col>21</xdr:col>
          <xdr:colOff>342900</xdr:colOff>
          <xdr:row>61</xdr:row>
          <xdr:rowOff>266700</xdr:rowOff>
        </xdr:to>
        <xdr:sp macro="" textlink="">
          <xdr:nvSpPr>
            <xdr:cNvPr id="5413" name="Check Box 1317" hidden="1">
              <a:extLst>
                <a:ext uri="{63B3BB69-23CF-44E3-9099-C40C66FF867C}">
                  <a14:compatExt spid="_x0000_s5413"/>
                </a:ext>
                <a:ext uri="{FF2B5EF4-FFF2-40B4-BE49-F238E27FC236}">
                  <a16:creationId xmlns:a16="http://schemas.microsoft.com/office/drawing/2014/main" id="{00000000-0008-0000-0000-00002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61</xdr:row>
          <xdr:rowOff>38100</xdr:rowOff>
        </xdr:from>
        <xdr:to>
          <xdr:col>22</xdr:col>
          <xdr:colOff>342900</xdr:colOff>
          <xdr:row>61</xdr:row>
          <xdr:rowOff>266700</xdr:rowOff>
        </xdr:to>
        <xdr:sp macro="" textlink="">
          <xdr:nvSpPr>
            <xdr:cNvPr id="5414" name="Check Box 1318" hidden="1">
              <a:extLst>
                <a:ext uri="{63B3BB69-23CF-44E3-9099-C40C66FF867C}">
                  <a14:compatExt spid="_x0000_s5414"/>
                </a:ext>
                <a:ext uri="{FF2B5EF4-FFF2-40B4-BE49-F238E27FC236}">
                  <a16:creationId xmlns:a16="http://schemas.microsoft.com/office/drawing/2014/main" id="{00000000-0008-0000-0000-00002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61</xdr:row>
          <xdr:rowOff>38100</xdr:rowOff>
        </xdr:from>
        <xdr:to>
          <xdr:col>23</xdr:col>
          <xdr:colOff>342900</xdr:colOff>
          <xdr:row>61</xdr:row>
          <xdr:rowOff>266700</xdr:rowOff>
        </xdr:to>
        <xdr:sp macro="" textlink="">
          <xdr:nvSpPr>
            <xdr:cNvPr id="5415" name="Check Box 1319" hidden="1">
              <a:extLst>
                <a:ext uri="{63B3BB69-23CF-44E3-9099-C40C66FF867C}">
                  <a14:compatExt spid="_x0000_s5415"/>
                </a:ext>
                <a:ext uri="{FF2B5EF4-FFF2-40B4-BE49-F238E27FC236}">
                  <a16:creationId xmlns:a16="http://schemas.microsoft.com/office/drawing/2014/main" id="{00000000-0008-0000-0000-00002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61</xdr:row>
          <xdr:rowOff>38100</xdr:rowOff>
        </xdr:from>
        <xdr:to>
          <xdr:col>24</xdr:col>
          <xdr:colOff>342900</xdr:colOff>
          <xdr:row>61</xdr:row>
          <xdr:rowOff>266700</xdr:rowOff>
        </xdr:to>
        <xdr:sp macro="" textlink="">
          <xdr:nvSpPr>
            <xdr:cNvPr id="5416" name="Check Box 1320" hidden="1">
              <a:extLst>
                <a:ext uri="{63B3BB69-23CF-44E3-9099-C40C66FF867C}">
                  <a14:compatExt spid="_x0000_s5416"/>
                </a:ext>
                <a:ext uri="{FF2B5EF4-FFF2-40B4-BE49-F238E27FC236}">
                  <a16:creationId xmlns:a16="http://schemas.microsoft.com/office/drawing/2014/main" id="{00000000-0008-0000-0000-00002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61</xdr:row>
          <xdr:rowOff>38100</xdr:rowOff>
        </xdr:from>
        <xdr:to>
          <xdr:col>25</xdr:col>
          <xdr:colOff>342900</xdr:colOff>
          <xdr:row>61</xdr:row>
          <xdr:rowOff>266700</xdr:rowOff>
        </xdr:to>
        <xdr:sp macro="" textlink="">
          <xdr:nvSpPr>
            <xdr:cNvPr id="5417" name="Check Box 1321" hidden="1">
              <a:extLst>
                <a:ext uri="{63B3BB69-23CF-44E3-9099-C40C66FF867C}">
                  <a14:compatExt spid="_x0000_s5417"/>
                </a:ext>
                <a:ext uri="{FF2B5EF4-FFF2-40B4-BE49-F238E27FC236}">
                  <a16:creationId xmlns:a16="http://schemas.microsoft.com/office/drawing/2014/main" id="{00000000-0008-0000-0000-00002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61</xdr:row>
          <xdr:rowOff>38100</xdr:rowOff>
        </xdr:from>
        <xdr:to>
          <xdr:col>26</xdr:col>
          <xdr:colOff>342900</xdr:colOff>
          <xdr:row>61</xdr:row>
          <xdr:rowOff>266700</xdr:rowOff>
        </xdr:to>
        <xdr:sp macro="" textlink="">
          <xdr:nvSpPr>
            <xdr:cNvPr id="5418" name="Check Box 1322" hidden="1">
              <a:extLst>
                <a:ext uri="{63B3BB69-23CF-44E3-9099-C40C66FF867C}">
                  <a14:compatExt spid="_x0000_s5418"/>
                </a:ext>
                <a:ext uri="{FF2B5EF4-FFF2-40B4-BE49-F238E27FC236}">
                  <a16:creationId xmlns:a16="http://schemas.microsoft.com/office/drawing/2014/main" id="{00000000-0008-0000-0000-00002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61</xdr:row>
          <xdr:rowOff>38100</xdr:rowOff>
        </xdr:from>
        <xdr:to>
          <xdr:col>27</xdr:col>
          <xdr:colOff>342900</xdr:colOff>
          <xdr:row>61</xdr:row>
          <xdr:rowOff>266700</xdr:rowOff>
        </xdr:to>
        <xdr:sp macro="" textlink="">
          <xdr:nvSpPr>
            <xdr:cNvPr id="5419" name="Check Box 1323" hidden="1">
              <a:extLst>
                <a:ext uri="{63B3BB69-23CF-44E3-9099-C40C66FF867C}">
                  <a14:compatExt spid="_x0000_s5419"/>
                </a:ext>
                <a:ext uri="{FF2B5EF4-FFF2-40B4-BE49-F238E27FC236}">
                  <a16:creationId xmlns:a16="http://schemas.microsoft.com/office/drawing/2014/main" id="{00000000-0008-0000-0000-00002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61</xdr:row>
          <xdr:rowOff>38100</xdr:rowOff>
        </xdr:from>
        <xdr:to>
          <xdr:col>28</xdr:col>
          <xdr:colOff>342900</xdr:colOff>
          <xdr:row>61</xdr:row>
          <xdr:rowOff>266700</xdr:rowOff>
        </xdr:to>
        <xdr:sp macro="" textlink="">
          <xdr:nvSpPr>
            <xdr:cNvPr id="5420" name="Check Box 1324" hidden="1">
              <a:extLst>
                <a:ext uri="{63B3BB69-23CF-44E3-9099-C40C66FF867C}">
                  <a14:compatExt spid="_x0000_s5420"/>
                </a:ext>
                <a:ext uri="{FF2B5EF4-FFF2-40B4-BE49-F238E27FC236}">
                  <a16:creationId xmlns:a16="http://schemas.microsoft.com/office/drawing/2014/main" id="{00000000-0008-0000-0000-00002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61</xdr:row>
          <xdr:rowOff>38100</xdr:rowOff>
        </xdr:from>
        <xdr:to>
          <xdr:col>29</xdr:col>
          <xdr:colOff>342900</xdr:colOff>
          <xdr:row>61</xdr:row>
          <xdr:rowOff>266700</xdr:rowOff>
        </xdr:to>
        <xdr:sp macro="" textlink="">
          <xdr:nvSpPr>
            <xdr:cNvPr id="5421" name="Check Box 1325" hidden="1">
              <a:extLst>
                <a:ext uri="{63B3BB69-23CF-44E3-9099-C40C66FF867C}">
                  <a14:compatExt spid="_x0000_s5421"/>
                </a:ext>
                <a:ext uri="{FF2B5EF4-FFF2-40B4-BE49-F238E27FC236}">
                  <a16:creationId xmlns:a16="http://schemas.microsoft.com/office/drawing/2014/main" id="{00000000-0008-0000-0000-00002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61</xdr:row>
          <xdr:rowOff>38100</xdr:rowOff>
        </xdr:from>
        <xdr:to>
          <xdr:col>30</xdr:col>
          <xdr:colOff>342900</xdr:colOff>
          <xdr:row>61</xdr:row>
          <xdr:rowOff>266700</xdr:rowOff>
        </xdr:to>
        <xdr:sp macro="" textlink="">
          <xdr:nvSpPr>
            <xdr:cNvPr id="5422" name="Check Box 1326" hidden="1">
              <a:extLst>
                <a:ext uri="{63B3BB69-23CF-44E3-9099-C40C66FF867C}">
                  <a14:compatExt spid="_x0000_s5422"/>
                </a:ext>
                <a:ext uri="{FF2B5EF4-FFF2-40B4-BE49-F238E27FC236}">
                  <a16:creationId xmlns:a16="http://schemas.microsoft.com/office/drawing/2014/main" id="{00000000-0008-0000-0000-00002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61</xdr:row>
          <xdr:rowOff>38100</xdr:rowOff>
        </xdr:from>
        <xdr:to>
          <xdr:col>31</xdr:col>
          <xdr:colOff>342900</xdr:colOff>
          <xdr:row>61</xdr:row>
          <xdr:rowOff>266700</xdr:rowOff>
        </xdr:to>
        <xdr:sp macro="" textlink="">
          <xdr:nvSpPr>
            <xdr:cNvPr id="5423" name="Check Box 1327" hidden="1">
              <a:extLst>
                <a:ext uri="{63B3BB69-23CF-44E3-9099-C40C66FF867C}">
                  <a14:compatExt spid="_x0000_s5423"/>
                </a:ext>
                <a:ext uri="{FF2B5EF4-FFF2-40B4-BE49-F238E27FC236}">
                  <a16:creationId xmlns:a16="http://schemas.microsoft.com/office/drawing/2014/main" id="{00000000-0008-0000-0000-00002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61</xdr:row>
          <xdr:rowOff>38100</xdr:rowOff>
        </xdr:from>
        <xdr:to>
          <xdr:col>32</xdr:col>
          <xdr:colOff>342900</xdr:colOff>
          <xdr:row>61</xdr:row>
          <xdr:rowOff>266700</xdr:rowOff>
        </xdr:to>
        <xdr:sp macro="" textlink="">
          <xdr:nvSpPr>
            <xdr:cNvPr id="5424" name="Check Box 1328" hidden="1">
              <a:extLst>
                <a:ext uri="{63B3BB69-23CF-44E3-9099-C40C66FF867C}">
                  <a14:compatExt spid="_x0000_s5424"/>
                </a:ext>
                <a:ext uri="{FF2B5EF4-FFF2-40B4-BE49-F238E27FC236}">
                  <a16:creationId xmlns:a16="http://schemas.microsoft.com/office/drawing/2014/main" id="{00000000-0008-0000-0000-00003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61</xdr:row>
          <xdr:rowOff>38100</xdr:rowOff>
        </xdr:from>
        <xdr:to>
          <xdr:col>33</xdr:col>
          <xdr:colOff>342900</xdr:colOff>
          <xdr:row>61</xdr:row>
          <xdr:rowOff>266700</xdr:rowOff>
        </xdr:to>
        <xdr:sp macro="" textlink="">
          <xdr:nvSpPr>
            <xdr:cNvPr id="5425" name="Check Box 1329" hidden="1">
              <a:extLst>
                <a:ext uri="{63B3BB69-23CF-44E3-9099-C40C66FF867C}">
                  <a14:compatExt spid="_x0000_s5425"/>
                </a:ext>
                <a:ext uri="{FF2B5EF4-FFF2-40B4-BE49-F238E27FC236}">
                  <a16:creationId xmlns:a16="http://schemas.microsoft.com/office/drawing/2014/main" id="{00000000-0008-0000-0000-00003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61</xdr:row>
          <xdr:rowOff>38100</xdr:rowOff>
        </xdr:from>
        <xdr:to>
          <xdr:col>34</xdr:col>
          <xdr:colOff>342900</xdr:colOff>
          <xdr:row>61</xdr:row>
          <xdr:rowOff>266700</xdr:rowOff>
        </xdr:to>
        <xdr:sp macro="" textlink="">
          <xdr:nvSpPr>
            <xdr:cNvPr id="5426" name="Check Box 1330" hidden="1">
              <a:extLst>
                <a:ext uri="{63B3BB69-23CF-44E3-9099-C40C66FF867C}">
                  <a14:compatExt spid="_x0000_s5426"/>
                </a:ext>
                <a:ext uri="{FF2B5EF4-FFF2-40B4-BE49-F238E27FC236}">
                  <a16:creationId xmlns:a16="http://schemas.microsoft.com/office/drawing/2014/main" id="{00000000-0008-0000-0000-00003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61</xdr:row>
          <xdr:rowOff>38100</xdr:rowOff>
        </xdr:from>
        <xdr:to>
          <xdr:col>35</xdr:col>
          <xdr:colOff>342900</xdr:colOff>
          <xdr:row>61</xdr:row>
          <xdr:rowOff>266700</xdr:rowOff>
        </xdr:to>
        <xdr:sp macro="" textlink="">
          <xdr:nvSpPr>
            <xdr:cNvPr id="5427" name="Check Box 1331" hidden="1">
              <a:extLst>
                <a:ext uri="{63B3BB69-23CF-44E3-9099-C40C66FF867C}">
                  <a14:compatExt spid="_x0000_s5427"/>
                </a:ext>
                <a:ext uri="{FF2B5EF4-FFF2-40B4-BE49-F238E27FC236}">
                  <a16:creationId xmlns:a16="http://schemas.microsoft.com/office/drawing/2014/main" id="{00000000-0008-0000-0000-00003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61</xdr:row>
          <xdr:rowOff>38100</xdr:rowOff>
        </xdr:from>
        <xdr:to>
          <xdr:col>36</xdr:col>
          <xdr:colOff>342900</xdr:colOff>
          <xdr:row>61</xdr:row>
          <xdr:rowOff>266700</xdr:rowOff>
        </xdr:to>
        <xdr:sp macro="" textlink="">
          <xdr:nvSpPr>
            <xdr:cNvPr id="5428" name="Check Box 1332" hidden="1">
              <a:extLst>
                <a:ext uri="{63B3BB69-23CF-44E3-9099-C40C66FF867C}">
                  <a14:compatExt spid="_x0000_s5428"/>
                </a:ext>
                <a:ext uri="{FF2B5EF4-FFF2-40B4-BE49-F238E27FC236}">
                  <a16:creationId xmlns:a16="http://schemas.microsoft.com/office/drawing/2014/main" id="{00000000-0008-0000-0000-00003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61</xdr:row>
          <xdr:rowOff>38100</xdr:rowOff>
        </xdr:from>
        <xdr:to>
          <xdr:col>37</xdr:col>
          <xdr:colOff>342900</xdr:colOff>
          <xdr:row>61</xdr:row>
          <xdr:rowOff>266700</xdr:rowOff>
        </xdr:to>
        <xdr:sp macro="" textlink="">
          <xdr:nvSpPr>
            <xdr:cNvPr id="5429" name="Check Box 1333" hidden="1">
              <a:extLst>
                <a:ext uri="{63B3BB69-23CF-44E3-9099-C40C66FF867C}">
                  <a14:compatExt spid="_x0000_s5429"/>
                </a:ext>
                <a:ext uri="{FF2B5EF4-FFF2-40B4-BE49-F238E27FC236}">
                  <a16:creationId xmlns:a16="http://schemas.microsoft.com/office/drawing/2014/main" id="{00000000-0008-0000-0000-00003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62</xdr:row>
          <xdr:rowOff>38100</xdr:rowOff>
        </xdr:from>
        <xdr:to>
          <xdr:col>7</xdr:col>
          <xdr:colOff>342900</xdr:colOff>
          <xdr:row>62</xdr:row>
          <xdr:rowOff>266700</xdr:rowOff>
        </xdr:to>
        <xdr:sp macro="" textlink="">
          <xdr:nvSpPr>
            <xdr:cNvPr id="5430" name="Check Box 1334" hidden="1">
              <a:extLst>
                <a:ext uri="{63B3BB69-23CF-44E3-9099-C40C66FF867C}">
                  <a14:compatExt spid="_x0000_s5430"/>
                </a:ext>
                <a:ext uri="{FF2B5EF4-FFF2-40B4-BE49-F238E27FC236}">
                  <a16:creationId xmlns:a16="http://schemas.microsoft.com/office/drawing/2014/main" id="{00000000-0008-0000-0000-00003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62</xdr:row>
          <xdr:rowOff>38100</xdr:rowOff>
        </xdr:from>
        <xdr:to>
          <xdr:col>8</xdr:col>
          <xdr:colOff>342900</xdr:colOff>
          <xdr:row>62</xdr:row>
          <xdr:rowOff>266700</xdr:rowOff>
        </xdr:to>
        <xdr:sp macro="" textlink="">
          <xdr:nvSpPr>
            <xdr:cNvPr id="5431" name="Check Box 1335" hidden="1">
              <a:extLst>
                <a:ext uri="{63B3BB69-23CF-44E3-9099-C40C66FF867C}">
                  <a14:compatExt spid="_x0000_s5431"/>
                </a:ext>
                <a:ext uri="{FF2B5EF4-FFF2-40B4-BE49-F238E27FC236}">
                  <a16:creationId xmlns:a16="http://schemas.microsoft.com/office/drawing/2014/main" id="{00000000-0008-0000-0000-00003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62</xdr:row>
          <xdr:rowOff>38100</xdr:rowOff>
        </xdr:from>
        <xdr:to>
          <xdr:col>9</xdr:col>
          <xdr:colOff>342900</xdr:colOff>
          <xdr:row>62</xdr:row>
          <xdr:rowOff>266700</xdr:rowOff>
        </xdr:to>
        <xdr:sp macro="" textlink="">
          <xdr:nvSpPr>
            <xdr:cNvPr id="5432" name="Check Box 1336" hidden="1">
              <a:extLst>
                <a:ext uri="{63B3BB69-23CF-44E3-9099-C40C66FF867C}">
                  <a14:compatExt spid="_x0000_s5432"/>
                </a:ext>
                <a:ext uri="{FF2B5EF4-FFF2-40B4-BE49-F238E27FC236}">
                  <a16:creationId xmlns:a16="http://schemas.microsoft.com/office/drawing/2014/main" id="{00000000-0008-0000-0000-00003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62</xdr:row>
          <xdr:rowOff>38100</xdr:rowOff>
        </xdr:from>
        <xdr:to>
          <xdr:col>10</xdr:col>
          <xdr:colOff>342900</xdr:colOff>
          <xdr:row>62</xdr:row>
          <xdr:rowOff>266700</xdr:rowOff>
        </xdr:to>
        <xdr:sp macro="" textlink="">
          <xdr:nvSpPr>
            <xdr:cNvPr id="5433" name="Check Box 1337" hidden="1">
              <a:extLst>
                <a:ext uri="{63B3BB69-23CF-44E3-9099-C40C66FF867C}">
                  <a14:compatExt spid="_x0000_s5433"/>
                </a:ext>
                <a:ext uri="{FF2B5EF4-FFF2-40B4-BE49-F238E27FC236}">
                  <a16:creationId xmlns:a16="http://schemas.microsoft.com/office/drawing/2014/main" id="{00000000-0008-0000-0000-00003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62</xdr:row>
          <xdr:rowOff>38100</xdr:rowOff>
        </xdr:from>
        <xdr:to>
          <xdr:col>11</xdr:col>
          <xdr:colOff>342900</xdr:colOff>
          <xdr:row>62</xdr:row>
          <xdr:rowOff>266700</xdr:rowOff>
        </xdr:to>
        <xdr:sp macro="" textlink="">
          <xdr:nvSpPr>
            <xdr:cNvPr id="5434" name="Check Box 1338" hidden="1">
              <a:extLst>
                <a:ext uri="{63B3BB69-23CF-44E3-9099-C40C66FF867C}">
                  <a14:compatExt spid="_x0000_s5434"/>
                </a:ext>
                <a:ext uri="{FF2B5EF4-FFF2-40B4-BE49-F238E27FC236}">
                  <a16:creationId xmlns:a16="http://schemas.microsoft.com/office/drawing/2014/main" id="{00000000-0008-0000-0000-00003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62</xdr:row>
          <xdr:rowOff>38100</xdr:rowOff>
        </xdr:from>
        <xdr:to>
          <xdr:col>12</xdr:col>
          <xdr:colOff>342900</xdr:colOff>
          <xdr:row>62</xdr:row>
          <xdr:rowOff>266700</xdr:rowOff>
        </xdr:to>
        <xdr:sp macro="" textlink="">
          <xdr:nvSpPr>
            <xdr:cNvPr id="5435" name="Check Box 1339" hidden="1">
              <a:extLst>
                <a:ext uri="{63B3BB69-23CF-44E3-9099-C40C66FF867C}">
                  <a14:compatExt spid="_x0000_s5435"/>
                </a:ext>
                <a:ext uri="{FF2B5EF4-FFF2-40B4-BE49-F238E27FC236}">
                  <a16:creationId xmlns:a16="http://schemas.microsoft.com/office/drawing/2014/main" id="{00000000-0008-0000-0000-00003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62</xdr:row>
          <xdr:rowOff>38100</xdr:rowOff>
        </xdr:from>
        <xdr:to>
          <xdr:col>13</xdr:col>
          <xdr:colOff>342900</xdr:colOff>
          <xdr:row>62</xdr:row>
          <xdr:rowOff>266700</xdr:rowOff>
        </xdr:to>
        <xdr:sp macro="" textlink="">
          <xdr:nvSpPr>
            <xdr:cNvPr id="5436" name="Check Box 1340" hidden="1">
              <a:extLst>
                <a:ext uri="{63B3BB69-23CF-44E3-9099-C40C66FF867C}">
                  <a14:compatExt spid="_x0000_s5436"/>
                </a:ext>
                <a:ext uri="{FF2B5EF4-FFF2-40B4-BE49-F238E27FC236}">
                  <a16:creationId xmlns:a16="http://schemas.microsoft.com/office/drawing/2014/main" id="{00000000-0008-0000-0000-00003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62</xdr:row>
          <xdr:rowOff>38100</xdr:rowOff>
        </xdr:from>
        <xdr:to>
          <xdr:col>14</xdr:col>
          <xdr:colOff>342900</xdr:colOff>
          <xdr:row>62</xdr:row>
          <xdr:rowOff>266700</xdr:rowOff>
        </xdr:to>
        <xdr:sp macro="" textlink="">
          <xdr:nvSpPr>
            <xdr:cNvPr id="5437" name="Check Box 1341" hidden="1">
              <a:extLst>
                <a:ext uri="{63B3BB69-23CF-44E3-9099-C40C66FF867C}">
                  <a14:compatExt spid="_x0000_s5437"/>
                </a:ext>
                <a:ext uri="{FF2B5EF4-FFF2-40B4-BE49-F238E27FC236}">
                  <a16:creationId xmlns:a16="http://schemas.microsoft.com/office/drawing/2014/main" id="{00000000-0008-0000-0000-00003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62</xdr:row>
          <xdr:rowOff>38100</xdr:rowOff>
        </xdr:from>
        <xdr:to>
          <xdr:col>15</xdr:col>
          <xdr:colOff>342900</xdr:colOff>
          <xdr:row>62</xdr:row>
          <xdr:rowOff>266700</xdr:rowOff>
        </xdr:to>
        <xdr:sp macro="" textlink="">
          <xdr:nvSpPr>
            <xdr:cNvPr id="5438" name="Check Box 1342" hidden="1">
              <a:extLst>
                <a:ext uri="{63B3BB69-23CF-44E3-9099-C40C66FF867C}">
                  <a14:compatExt spid="_x0000_s5438"/>
                </a:ext>
                <a:ext uri="{FF2B5EF4-FFF2-40B4-BE49-F238E27FC236}">
                  <a16:creationId xmlns:a16="http://schemas.microsoft.com/office/drawing/2014/main" id="{00000000-0008-0000-0000-00003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62</xdr:row>
          <xdr:rowOff>38100</xdr:rowOff>
        </xdr:from>
        <xdr:to>
          <xdr:col>16</xdr:col>
          <xdr:colOff>342900</xdr:colOff>
          <xdr:row>62</xdr:row>
          <xdr:rowOff>266700</xdr:rowOff>
        </xdr:to>
        <xdr:sp macro="" textlink="">
          <xdr:nvSpPr>
            <xdr:cNvPr id="5439" name="Check Box 1343" hidden="1">
              <a:extLst>
                <a:ext uri="{63B3BB69-23CF-44E3-9099-C40C66FF867C}">
                  <a14:compatExt spid="_x0000_s5439"/>
                </a:ext>
                <a:ext uri="{FF2B5EF4-FFF2-40B4-BE49-F238E27FC236}">
                  <a16:creationId xmlns:a16="http://schemas.microsoft.com/office/drawing/2014/main" id="{00000000-0008-0000-0000-00003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62</xdr:row>
          <xdr:rowOff>38100</xdr:rowOff>
        </xdr:from>
        <xdr:to>
          <xdr:col>17</xdr:col>
          <xdr:colOff>342900</xdr:colOff>
          <xdr:row>62</xdr:row>
          <xdr:rowOff>266700</xdr:rowOff>
        </xdr:to>
        <xdr:sp macro="" textlink="">
          <xdr:nvSpPr>
            <xdr:cNvPr id="5440" name="Check Box 1344" hidden="1">
              <a:extLst>
                <a:ext uri="{63B3BB69-23CF-44E3-9099-C40C66FF867C}">
                  <a14:compatExt spid="_x0000_s5440"/>
                </a:ext>
                <a:ext uri="{FF2B5EF4-FFF2-40B4-BE49-F238E27FC236}">
                  <a16:creationId xmlns:a16="http://schemas.microsoft.com/office/drawing/2014/main" id="{00000000-0008-0000-0000-00004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62</xdr:row>
          <xdr:rowOff>38100</xdr:rowOff>
        </xdr:from>
        <xdr:to>
          <xdr:col>18</xdr:col>
          <xdr:colOff>342900</xdr:colOff>
          <xdr:row>62</xdr:row>
          <xdr:rowOff>266700</xdr:rowOff>
        </xdr:to>
        <xdr:sp macro="" textlink="">
          <xdr:nvSpPr>
            <xdr:cNvPr id="5441" name="Check Box 1345" hidden="1">
              <a:extLst>
                <a:ext uri="{63B3BB69-23CF-44E3-9099-C40C66FF867C}">
                  <a14:compatExt spid="_x0000_s5441"/>
                </a:ext>
                <a:ext uri="{FF2B5EF4-FFF2-40B4-BE49-F238E27FC236}">
                  <a16:creationId xmlns:a16="http://schemas.microsoft.com/office/drawing/2014/main" id="{00000000-0008-0000-0000-00004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62</xdr:row>
          <xdr:rowOff>38100</xdr:rowOff>
        </xdr:from>
        <xdr:to>
          <xdr:col>19</xdr:col>
          <xdr:colOff>342900</xdr:colOff>
          <xdr:row>62</xdr:row>
          <xdr:rowOff>266700</xdr:rowOff>
        </xdr:to>
        <xdr:sp macro="" textlink="">
          <xdr:nvSpPr>
            <xdr:cNvPr id="5442" name="Check Box 1346" hidden="1">
              <a:extLst>
                <a:ext uri="{63B3BB69-23CF-44E3-9099-C40C66FF867C}">
                  <a14:compatExt spid="_x0000_s5442"/>
                </a:ext>
                <a:ext uri="{FF2B5EF4-FFF2-40B4-BE49-F238E27FC236}">
                  <a16:creationId xmlns:a16="http://schemas.microsoft.com/office/drawing/2014/main" id="{00000000-0008-0000-0000-00004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62</xdr:row>
          <xdr:rowOff>38100</xdr:rowOff>
        </xdr:from>
        <xdr:to>
          <xdr:col>20</xdr:col>
          <xdr:colOff>342900</xdr:colOff>
          <xdr:row>62</xdr:row>
          <xdr:rowOff>266700</xdr:rowOff>
        </xdr:to>
        <xdr:sp macro="" textlink="">
          <xdr:nvSpPr>
            <xdr:cNvPr id="5443" name="Check Box 1347" hidden="1">
              <a:extLst>
                <a:ext uri="{63B3BB69-23CF-44E3-9099-C40C66FF867C}">
                  <a14:compatExt spid="_x0000_s5443"/>
                </a:ext>
                <a:ext uri="{FF2B5EF4-FFF2-40B4-BE49-F238E27FC236}">
                  <a16:creationId xmlns:a16="http://schemas.microsoft.com/office/drawing/2014/main" id="{00000000-0008-0000-0000-00004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62</xdr:row>
          <xdr:rowOff>38100</xdr:rowOff>
        </xdr:from>
        <xdr:to>
          <xdr:col>21</xdr:col>
          <xdr:colOff>342900</xdr:colOff>
          <xdr:row>62</xdr:row>
          <xdr:rowOff>266700</xdr:rowOff>
        </xdr:to>
        <xdr:sp macro="" textlink="">
          <xdr:nvSpPr>
            <xdr:cNvPr id="5444" name="Check Box 1348" hidden="1">
              <a:extLst>
                <a:ext uri="{63B3BB69-23CF-44E3-9099-C40C66FF867C}">
                  <a14:compatExt spid="_x0000_s5444"/>
                </a:ext>
                <a:ext uri="{FF2B5EF4-FFF2-40B4-BE49-F238E27FC236}">
                  <a16:creationId xmlns:a16="http://schemas.microsoft.com/office/drawing/2014/main" id="{00000000-0008-0000-0000-00004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62</xdr:row>
          <xdr:rowOff>38100</xdr:rowOff>
        </xdr:from>
        <xdr:to>
          <xdr:col>22</xdr:col>
          <xdr:colOff>342900</xdr:colOff>
          <xdr:row>62</xdr:row>
          <xdr:rowOff>266700</xdr:rowOff>
        </xdr:to>
        <xdr:sp macro="" textlink="">
          <xdr:nvSpPr>
            <xdr:cNvPr id="5445" name="Check Box 1349" hidden="1">
              <a:extLst>
                <a:ext uri="{63B3BB69-23CF-44E3-9099-C40C66FF867C}">
                  <a14:compatExt spid="_x0000_s5445"/>
                </a:ext>
                <a:ext uri="{FF2B5EF4-FFF2-40B4-BE49-F238E27FC236}">
                  <a16:creationId xmlns:a16="http://schemas.microsoft.com/office/drawing/2014/main" id="{00000000-0008-0000-0000-00004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62</xdr:row>
          <xdr:rowOff>38100</xdr:rowOff>
        </xdr:from>
        <xdr:to>
          <xdr:col>23</xdr:col>
          <xdr:colOff>342900</xdr:colOff>
          <xdr:row>62</xdr:row>
          <xdr:rowOff>266700</xdr:rowOff>
        </xdr:to>
        <xdr:sp macro="" textlink="">
          <xdr:nvSpPr>
            <xdr:cNvPr id="5446" name="Check Box 1350" hidden="1">
              <a:extLst>
                <a:ext uri="{63B3BB69-23CF-44E3-9099-C40C66FF867C}">
                  <a14:compatExt spid="_x0000_s5446"/>
                </a:ext>
                <a:ext uri="{FF2B5EF4-FFF2-40B4-BE49-F238E27FC236}">
                  <a16:creationId xmlns:a16="http://schemas.microsoft.com/office/drawing/2014/main" id="{00000000-0008-0000-0000-00004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62</xdr:row>
          <xdr:rowOff>38100</xdr:rowOff>
        </xdr:from>
        <xdr:to>
          <xdr:col>24</xdr:col>
          <xdr:colOff>342900</xdr:colOff>
          <xdr:row>62</xdr:row>
          <xdr:rowOff>266700</xdr:rowOff>
        </xdr:to>
        <xdr:sp macro="" textlink="">
          <xdr:nvSpPr>
            <xdr:cNvPr id="5447" name="Check Box 1351" hidden="1">
              <a:extLst>
                <a:ext uri="{63B3BB69-23CF-44E3-9099-C40C66FF867C}">
                  <a14:compatExt spid="_x0000_s5447"/>
                </a:ext>
                <a:ext uri="{FF2B5EF4-FFF2-40B4-BE49-F238E27FC236}">
                  <a16:creationId xmlns:a16="http://schemas.microsoft.com/office/drawing/2014/main" id="{00000000-0008-0000-0000-00004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62</xdr:row>
          <xdr:rowOff>38100</xdr:rowOff>
        </xdr:from>
        <xdr:to>
          <xdr:col>25</xdr:col>
          <xdr:colOff>342900</xdr:colOff>
          <xdr:row>62</xdr:row>
          <xdr:rowOff>266700</xdr:rowOff>
        </xdr:to>
        <xdr:sp macro="" textlink="">
          <xdr:nvSpPr>
            <xdr:cNvPr id="5448" name="Check Box 1352" hidden="1">
              <a:extLst>
                <a:ext uri="{63B3BB69-23CF-44E3-9099-C40C66FF867C}">
                  <a14:compatExt spid="_x0000_s5448"/>
                </a:ext>
                <a:ext uri="{FF2B5EF4-FFF2-40B4-BE49-F238E27FC236}">
                  <a16:creationId xmlns:a16="http://schemas.microsoft.com/office/drawing/2014/main" id="{00000000-0008-0000-0000-00004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62</xdr:row>
          <xdr:rowOff>38100</xdr:rowOff>
        </xdr:from>
        <xdr:to>
          <xdr:col>26</xdr:col>
          <xdr:colOff>342900</xdr:colOff>
          <xdr:row>62</xdr:row>
          <xdr:rowOff>266700</xdr:rowOff>
        </xdr:to>
        <xdr:sp macro="" textlink="">
          <xdr:nvSpPr>
            <xdr:cNvPr id="5449" name="Check Box 1353" hidden="1">
              <a:extLst>
                <a:ext uri="{63B3BB69-23CF-44E3-9099-C40C66FF867C}">
                  <a14:compatExt spid="_x0000_s5449"/>
                </a:ext>
                <a:ext uri="{FF2B5EF4-FFF2-40B4-BE49-F238E27FC236}">
                  <a16:creationId xmlns:a16="http://schemas.microsoft.com/office/drawing/2014/main" id="{00000000-0008-0000-0000-00004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62</xdr:row>
          <xdr:rowOff>38100</xdr:rowOff>
        </xdr:from>
        <xdr:to>
          <xdr:col>27</xdr:col>
          <xdr:colOff>342900</xdr:colOff>
          <xdr:row>62</xdr:row>
          <xdr:rowOff>266700</xdr:rowOff>
        </xdr:to>
        <xdr:sp macro="" textlink="">
          <xdr:nvSpPr>
            <xdr:cNvPr id="5450" name="Check Box 1354" hidden="1">
              <a:extLst>
                <a:ext uri="{63B3BB69-23CF-44E3-9099-C40C66FF867C}">
                  <a14:compatExt spid="_x0000_s5450"/>
                </a:ext>
                <a:ext uri="{FF2B5EF4-FFF2-40B4-BE49-F238E27FC236}">
                  <a16:creationId xmlns:a16="http://schemas.microsoft.com/office/drawing/2014/main" id="{00000000-0008-0000-0000-00004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62</xdr:row>
          <xdr:rowOff>38100</xdr:rowOff>
        </xdr:from>
        <xdr:to>
          <xdr:col>28</xdr:col>
          <xdr:colOff>342900</xdr:colOff>
          <xdr:row>62</xdr:row>
          <xdr:rowOff>266700</xdr:rowOff>
        </xdr:to>
        <xdr:sp macro="" textlink="">
          <xdr:nvSpPr>
            <xdr:cNvPr id="5451" name="Check Box 1355" hidden="1">
              <a:extLst>
                <a:ext uri="{63B3BB69-23CF-44E3-9099-C40C66FF867C}">
                  <a14:compatExt spid="_x0000_s5451"/>
                </a:ext>
                <a:ext uri="{FF2B5EF4-FFF2-40B4-BE49-F238E27FC236}">
                  <a16:creationId xmlns:a16="http://schemas.microsoft.com/office/drawing/2014/main" id="{00000000-0008-0000-0000-00004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62</xdr:row>
          <xdr:rowOff>38100</xdr:rowOff>
        </xdr:from>
        <xdr:to>
          <xdr:col>29</xdr:col>
          <xdr:colOff>342900</xdr:colOff>
          <xdr:row>62</xdr:row>
          <xdr:rowOff>266700</xdr:rowOff>
        </xdr:to>
        <xdr:sp macro="" textlink="">
          <xdr:nvSpPr>
            <xdr:cNvPr id="5452" name="Check Box 1356" hidden="1">
              <a:extLst>
                <a:ext uri="{63B3BB69-23CF-44E3-9099-C40C66FF867C}">
                  <a14:compatExt spid="_x0000_s5452"/>
                </a:ext>
                <a:ext uri="{FF2B5EF4-FFF2-40B4-BE49-F238E27FC236}">
                  <a16:creationId xmlns:a16="http://schemas.microsoft.com/office/drawing/2014/main" id="{00000000-0008-0000-0000-00004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62</xdr:row>
          <xdr:rowOff>38100</xdr:rowOff>
        </xdr:from>
        <xdr:to>
          <xdr:col>30</xdr:col>
          <xdr:colOff>342900</xdr:colOff>
          <xdr:row>62</xdr:row>
          <xdr:rowOff>266700</xdr:rowOff>
        </xdr:to>
        <xdr:sp macro="" textlink="">
          <xdr:nvSpPr>
            <xdr:cNvPr id="5453" name="Check Box 1357" hidden="1">
              <a:extLst>
                <a:ext uri="{63B3BB69-23CF-44E3-9099-C40C66FF867C}">
                  <a14:compatExt spid="_x0000_s5453"/>
                </a:ext>
                <a:ext uri="{FF2B5EF4-FFF2-40B4-BE49-F238E27FC236}">
                  <a16:creationId xmlns:a16="http://schemas.microsoft.com/office/drawing/2014/main" id="{00000000-0008-0000-0000-00004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62</xdr:row>
          <xdr:rowOff>38100</xdr:rowOff>
        </xdr:from>
        <xdr:to>
          <xdr:col>31</xdr:col>
          <xdr:colOff>342900</xdr:colOff>
          <xdr:row>62</xdr:row>
          <xdr:rowOff>266700</xdr:rowOff>
        </xdr:to>
        <xdr:sp macro="" textlink="">
          <xdr:nvSpPr>
            <xdr:cNvPr id="5454" name="Check Box 1358" hidden="1">
              <a:extLst>
                <a:ext uri="{63B3BB69-23CF-44E3-9099-C40C66FF867C}">
                  <a14:compatExt spid="_x0000_s5454"/>
                </a:ext>
                <a:ext uri="{FF2B5EF4-FFF2-40B4-BE49-F238E27FC236}">
                  <a16:creationId xmlns:a16="http://schemas.microsoft.com/office/drawing/2014/main" id="{00000000-0008-0000-0000-00004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62</xdr:row>
          <xdr:rowOff>38100</xdr:rowOff>
        </xdr:from>
        <xdr:to>
          <xdr:col>32</xdr:col>
          <xdr:colOff>342900</xdr:colOff>
          <xdr:row>62</xdr:row>
          <xdr:rowOff>266700</xdr:rowOff>
        </xdr:to>
        <xdr:sp macro="" textlink="">
          <xdr:nvSpPr>
            <xdr:cNvPr id="5455" name="Check Box 1359" hidden="1">
              <a:extLst>
                <a:ext uri="{63B3BB69-23CF-44E3-9099-C40C66FF867C}">
                  <a14:compatExt spid="_x0000_s5455"/>
                </a:ext>
                <a:ext uri="{FF2B5EF4-FFF2-40B4-BE49-F238E27FC236}">
                  <a16:creationId xmlns:a16="http://schemas.microsoft.com/office/drawing/2014/main" id="{00000000-0008-0000-0000-00004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62</xdr:row>
          <xdr:rowOff>38100</xdr:rowOff>
        </xdr:from>
        <xdr:to>
          <xdr:col>33</xdr:col>
          <xdr:colOff>342900</xdr:colOff>
          <xdr:row>62</xdr:row>
          <xdr:rowOff>266700</xdr:rowOff>
        </xdr:to>
        <xdr:sp macro="" textlink="">
          <xdr:nvSpPr>
            <xdr:cNvPr id="5456" name="Check Box 1360" hidden="1">
              <a:extLst>
                <a:ext uri="{63B3BB69-23CF-44E3-9099-C40C66FF867C}">
                  <a14:compatExt spid="_x0000_s5456"/>
                </a:ext>
                <a:ext uri="{FF2B5EF4-FFF2-40B4-BE49-F238E27FC236}">
                  <a16:creationId xmlns:a16="http://schemas.microsoft.com/office/drawing/2014/main" id="{00000000-0008-0000-0000-00005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62</xdr:row>
          <xdr:rowOff>38100</xdr:rowOff>
        </xdr:from>
        <xdr:to>
          <xdr:col>34</xdr:col>
          <xdr:colOff>342900</xdr:colOff>
          <xdr:row>62</xdr:row>
          <xdr:rowOff>266700</xdr:rowOff>
        </xdr:to>
        <xdr:sp macro="" textlink="">
          <xdr:nvSpPr>
            <xdr:cNvPr id="5457" name="Check Box 1361" hidden="1">
              <a:extLst>
                <a:ext uri="{63B3BB69-23CF-44E3-9099-C40C66FF867C}">
                  <a14:compatExt spid="_x0000_s5457"/>
                </a:ext>
                <a:ext uri="{FF2B5EF4-FFF2-40B4-BE49-F238E27FC236}">
                  <a16:creationId xmlns:a16="http://schemas.microsoft.com/office/drawing/2014/main" id="{00000000-0008-0000-0000-00005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62</xdr:row>
          <xdr:rowOff>38100</xdr:rowOff>
        </xdr:from>
        <xdr:to>
          <xdr:col>35</xdr:col>
          <xdr:colOff>342900</xdr:colOff>
          <xdr:row>62</xdr:row>
          <xdr:rowOff>266700</xdr:rowOff>
        </xdr:to>
        <xdr:sp macro="" textlink="">
          <xdr:nvSpPr>
            <xdr:cNvPr id="5458" name="Check Box 1362" hidden="1">
              <a:extLst>
                <a:ext uri="{63B3BB69-23CF-44E3-9099-C40C66FF867C}">
                  <a14:compatExt spid="_x0000_s5458"/>
                </a:ext>
                <a:ext uri="{FF2B5EF4-FFF2-40B4-BE49-F238E27FC236}">
                  <a16:creationId xmlns:a16="http://schemas.microsoft.com/office/drawing/2014/main" id="{00000000-0008-0000-0000-00005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62</xdr:row>
          <xdr:rowOff>38100</xdr:rowOff>
        </xdr:from>
        <xdr:to>
          <xdr:col>36</xdr:col>
          <xdr:colOff>342900</xdr:colOff>
          <xdr:row>62</xdr:row>
          <xdr:rowOff>266700</xdr:rowOff>
        </xdr:to>
        <xdr:sp macro="" textlink="">
          <xdr:nvSpPr>
            <xdr:cNvPr id="5459" name="Check Box 1363" hidden="1">
              <a:extLst>
                <a:ext uri="{63B3BB69-23CF-44E3-9099-C40C66FF867C}">
                  <a14:compatExt spid="_x0000_s5459"/>
                </a:ext>
                <a:ext uri="{FF2B5EF4-FFF2-40B4-BE49-F238E27FC236}">
                  <a16:creationId xmlns:a16="http://schemas.microsoft.com/office/drawing/2014/main" id="{00000000-0008-0000-0000-00005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62</xdr:row>
          <xdr:rowOff>38100</xdr:rowOff>
        </xdr:from>
        <xdr:to>
          <xdr:col>37</xdr:col>
          <xdr:colOff>342900</xdr:colOff>
          <xdr:row>62</xdr:row>
          <xdr:rowOff>266700</xdr:rowOff>
        </xdr:to>
        <xdr:sp macro="" textlink="">
          <xdr:nvSpPr>
            <xdr:cNvPr id="5460" name="Check Box 1364" hidden="1">
              <a:extLst>
                <a:ext uri="{63B3BB69-23CF-44E3-9099-C40C66FF867C}">
                  <a14:compatExt spid="_x0000_s5460"/>
                </a:ext>
                <a:ext uri="{FF2B5EF4-FFF2-40B4-BE49-F238E27FC236}">
                  <a16:creationId xmlns:a16="http://schemas.microsoft.com/office/drawing/2014/main" id="{00000000-0008-0000-0000-00005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63</xdr:row>
          <xdr:rowOff>38100</xdr:rowOff>
        </xdr:from>
        <xdr:to>
          <xdr:col>7</xdr:col>
          <xdr:colOff>342900</xdr:colOff>
          <xdr:row>63</xdr:row>
          <xdr:rowOff>266700</xdr:rowOff>
        </xdr:to>
        <xdr:sp macro="" textlink="">
          <xdr:nvSpPr>
            <xdr:cNvPr id="5461" name="Check Box 1365" hidden="1">
              <a:extLst>
                <a:ext uri="{63B3BB69-23CF-44E3-9099-C40C66FF867C}">
                  <a14:compatExt spid="_x0000_s5461"/>
                </a:ext>
                <a:ext uri="{FF2B5EF4-FFF2-40B4-BE49-F238E27FC236}">
                  <a16:creationId xmlns:a16="http://schemas.microsoft.com/office/drawing/2014/main" id="{00000000-0008-0000-0000-00005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63</xdr:row>
          <xdr:rowOff>38100</xdr:rowOff>
        </xdr:from>
        <xdr:to>
          <xdr:col>8</xdr:col>
          <xdr:colOff>342900</xdr:colOff>
          <xdr:row>63</xdr:row>
          <xdr:rowOff>266700</xdr:rowOff>
        </xdr:to>
        <xdr:sp macro="" textlink="">
          <xdr:nvSpPr>
            <xdr:cNvPr id="5462" name="Check Box 1366" hidden="1">
              <a:extLst>
                <a:ext uri="{63B3BB69-23CF-44E3-9099-C40C66FF867C}">
                  <a14:compatExt spid="_x0000_s5462"/>
                </a:ext>
                <a:ext uri="{FF2B5EF4-FFF2-40B4-BE49-F238E27FC236}">
                  <a16:creationId xmlns:a16="http://schemas.microsoft.com/office/drawing/2014/main" id="{00000000-0008-0000-0000-00005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63</xdr:row>
          <xdr:rowOff>38100</xdr:rowOff>
        </xdr:from>
        <xdr:to>
          <xdr:col>9</xdr:col>
          <xdr:colOff>342900</xdr:colOff>
          <xdr:row>63</xdr:row>
          <xdr:rowOff>266700</xdr:rowOff>
        </xdr:to>
        <xdr:sp macro="" textlink="">
          <xdr:nvSpPr>
            <xdr:cNvPr id="5463" name="Check Box 1367" hidden="1">
              <a:extLst>
                <a:ext uri="{63B3BB69-23CF-44E3-9099-C40C66FF867C}">
                  <a14:compatExt spid="_x0000_s5463"/>
                </a:ext>
                <a:ext uri="{FF2B5EF4-FFF2-40B4-BE49-F238E27FC236}">
                  <a16:creationId xmlns:a16="http://schemas.microsoft.com/office/drawing/2014/main" id="{00000000-0008-0000-0000-00005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63</xdr:row>
          <xdr:rowOff>38100</xdr:rowOff>
        </xdr:from>
        <xdr:to>
          <xdr:col>10</xdr:col>
          <xdr:colOff>342900</xdr:colOff>
          <xdr:row>63</xdr:row>
          <xdr:rowOff>266700</xdr:rowOff>
        </xdr:to>
        <xdr:sp macro="" textlink="">
          <xdr:nvSpPr>
            <xdr:cNvPr id="5464" name="Check Box 1368" hidden="1">
              <a:extLst>
                <a:ext uri="{63B3BB69-23CF-44E3-9099-C40C66FF867C}">
                  <a14:compatExt spid="_x0000_s5464"/>
                </a:ext>
                <a:ext uri="{FF2B5EF4-FFF2-40B4-BE49-F238E27FC236}">
                  <a16:creationId xmlns:a16="http://schemas.microsoft.com/office/drawing/2014/main" id="{00000000-0008-0000-0000-00005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63</xdr:row>
          <xdr:rowOff>38100</xdr:rowOff>
        </xdr:from>
        <xdr:to>
          <xdr:col>11</xdr:col>
          <xdr:colOff>342900</xdr:colOff>
          <xdr:row>63</xdr:row>
          <xdr:rowOff>266700</xdr:rowOff>
        </xdr:to>
        <xdr:sp macro="" textlink="">
          <xdr:nvSpPr>
            <xdr:cNvPr id="5465" name="Check Box 1369" hidden="1">
              <a:extLst>
                <a:ext uri="{63B3BB69-23CF-44E3-9099-C40C66FF867C}">
                  <a14:compatExt spid="_x0000_s5465"/>
                </a:ext>
                <a:ext uri="{FF2B5EF4-FFF2-40B4-BE49-F238E27FC236}">
                  <a16:creationId xmlns:a16="http://schemas.microsoft.com/office/drawing/2014/main" id="{00000000-0008-0000-0000-00005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63</xdr:row>
          <xdr:rowOff>38100</xdr:rowOff>
        </xdr:from>
        <xdr:to>
          <xdr:col>12</xdr:col>
          <xdr:colOff>342900</xdr:colOff>
          <xdr:row>63</xdr:row>
          <xdr:rowOff>266700</xdr:rowOff>
        </xdr:to>
        <xdr:sp macro="" textlink="">
          <xdr:nvSpPr>
            <xdr:cNvPr id="5466" name="Check Box 1370" hidden="1">
              <a:extLst>
                <a:ext uri="{63B3BB69-23CF-44E3-9099-C40C66FF867C}">
                  <a14:compatExt spid="_x0000_s5466"/>
                </a:ext>
                <a:ext uri="{FF2B5EF4-FFF2-40B4-BE49-F238E27FC236}">
                  <a16:creationId xmlns:a16="http://schemas.microsoft.com/office/drawing/2014/main" id="{00000000-0008-0000-0000-00005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63</xdr:row>
          <xdr:rowOff>38100</xdr:rowOff>
        </xdr:from>
        <xdr:to>
          <xdr:col>13</xdr:col>
          <xdr:colOff>342900</xdr:colOff>
          <xdr:row>63</xdr:row>
          <xdr:rowOff>266700</xdr:rowOff>
        </xdr:to>
        <xdr:sp macro="" textlink="">
          <xdr:nvSpPr>
            <xdr:cNvPr id="5467" name="Check Box 1371" hidden="1">
              <a:extLst>
                <a:ext uri="{63B3BB69-23CF-44E3-9099-C40C66FF867C}">
                  <a14:compatExt spid="_x0000_s5467"/>
                </a:ext>
                <a:ext uri="{FF2B5EF4-FFF2-40B4-BE49-F238E27FC236}">
                  <a16:creationId xmlns:a16="http://schemas.microsoft.com/office/drawing/2014/main" id="{00000000-0008-0000-0000-00005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63</xdr:row>
          <xdr:rowOff>38100</xdr:rowOff>
        </xdr:from>
        <xdr:to>
          <xdr:col>14</xdr:col>
          <xdr:colOff>342900</xdr:colOff>
          <xdr:row>63</xdr:row>
          <xdr:rowOff>266700</xdr:rowOff>
        </xdr:to>
        <xdr:sp macro="" textlink="">
          <xdr:nvSpPr>
            <xdr:cNvPr id="5468" name="Check Box 1372" hidden="1">
              <a:extLst>
                <a:ext uri="{63B3BB69-23CF-44E3-9099-C40C66FF867C}">
                  <a14:compatExt spid="_x0000_s5468"/>
                </a:ext>
                <a:ext uri="{FF2B5EF4-FFF2-40B4-BE49-F238E27FC236}">
                  <a16:creationId xmlns:a16="http://schemas.microsoft.com/office/drawing/2014/main" id="{00000000-0008-0000-0000-00005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63</xdr:row>
          <xdr:rowOff>38100</xdr:rowOff>
        </xdr:from>
        <xdr:to>
          <xdr:col>15</xdr:col>
          <xdr:colOff>342900</xdr:colOff>
          <xdr:row>63</xdr:row>
          <xdr:rowOff>266700</xdr:rowOff>
        </xdr:to>
        <xdr:sp macro="" textlink="">
          <xdr:nvSpPr>
            <xdr:cNvPr id="5469" name="Check Box 1373" hidden="1">
              <a:extLst>
                <a:ext uri="{63B3BB69-23CF-44E3-9099-C40C66FF867C}">
                  <a14:compatExt spid="_x0000_s5469"/>
                </a:ext>
                <a:ext uri="{FF2B5EF4-FFF2-40B4-BE49-F238E27FC236}">
                  <a16:creationId xmlns:a16="http://schemas.microsoft.com/office/drawing/2014/main" id="{00000000-0008-0000-0000-00005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63</xdr:row>
          <xdr:rowOff>38100</xdr:rowOff>
        </xdr:from>
        <xdr:to>
          <xdr:col>16</xdr:col>
          <xdr:colOff>342900</xdr:colOff>
          <xdr:row>63</xdr:row>
          <xdr:rowOff>266700</xdr:rowOff>
        </xdr:to>
        <xdr:sp macro="" textlink="">
          <xdr:nvSpPr>
            <xdr:cNvPr id="5470" name="Check Box 1374" hidden="1">
              <a:extLst>
                <a:ext uri="{63B3BB69-23CF-44E3-9099-C40C66FF867C}">
                  <a14:compatExt spid="_x0000_s5470"/>
                </a:ext>
                <a:ext uri="{FF2B5EF4-FFF2-40B4-BE49-F238E27FC236}">
                  <a16:creationId xmlns:a16="http://schemas.microsoft.com/office/drawing/2014/main" id="{00000000-0008-0000-0000-00005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63</xdr:row>
          <xdr:rowOff>38100</xdr:rowOff>
        </xdr:from>
        <xdr:to>
          <xdr:col>17</xdr:col>
          <xdr:colOff>342900</xdr:colOff>
          <xdr:row>63</xdr:row>
          <xdr:rowOff>266700</xdr:rowOff>
        </xdr:to>
        <xdr:sp macro="" textlink="">
          <xdr:nvSpPr>
            <xdr:cNvPr id="5471" name="Check Box 1375" hidden="1">
              <a:extLst>
                <a:ext uri="{63B3BB69-23CF-44E3-9099-C40C66FF867C}">
                  <a14:compatExt spid="_x0000_s5471"/>
                </a:ext>
                <a:ext uri="{FF2B5EF4-FFF2-40B4-BE49-F238E27FC236}">
                  <a16:creationId xmlns:a16="http://schemas.microsoft.com/office/drawing/2014/main" id="{00000000-0008-0000-0000-00005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63</xdr:row>
          <xdr:rowOff>38100</xdr:rowOff>
        </xdr:from>
        <xdr:to>
          <xdr:col>18</xdr:col>
          <xdr:colOff>342900</xdr:colOff>
          <xdr:row>63</xdr:row>
          <xdr:rowOff>266700</xdr:rowOff>
        </xdr:to>
        <xdr:sp macro="" textlink="">
          <xdr:nvSpPr>
            <xdr:cNvPr id="5472" name="Check Box 1376" hidden="1">
              <a:extLst>
                <a:ext uri="{63B3BB69-23CF-44E3-9099-C40C66FF867C}">
                  <a14:compatExt spid="_x0000_s5472"/>
                </a:ext>
                <a:ext uri="{FF2B5EF4-FFF2-40B4-BE49-F238E27FC236}">
                  <a16:creationId xmlns:a16="http://schemas.microsoft.com/office/drawing/2014/main" id="{00000000-0008-0000-0000-00006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63</xdr:row>
          <xdr:rowOff>38100</xdr:rowOff>
        </xdr:from>
        <xdr:to>
          <xdr:col>19</xdr:col>
          <xdr:colOff>342900</xdr:colOff>
          <xdr:row>63</xdr:row>
          <xdr:rowOff>266700</xdr:rowOff>
        </xdr:to>
        <xdr:sp macro="" textlink="">
          <xdr:nvSpPr>
            <xdr:cNvPr id="5473" name="Check Box 1377" hidden="1">
              <a:extLst>
                <a:ext uri="{63B3BB69-23CF-44E3-9099-C40C66FF867C}">
                  <a14:compatExt spid="_x0000_s5473"/>
                </a:ext>
                <a:ext uri="{FF2B5EF4-FFF2-40B4-BE49-F238E27FC236}">
                  <a16:creationId xmlns:a16="http://schemas.microsoft.com/office/drawing/2014/main" id="{00000000-0008-0000-0000-00006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63</xdr:row>
          <xdr:rowOff>38100</xdr:rowOff>
        </xdr:from>
        <xdr:to>
          <xdr:col>20</xdr:col>
          <xdr:colOff>342900</xdr:colOff>
          <xdr:row>63</xdr:row>
          <xdr:rowOff>266700</xdr:rowOff>
        </xdr:to>
        <xdr:sp macro="" textlink="">
          <xdr:nvSpPr>
            <xdr:cNvPr id="5474" name="Check Box 1378" hidden="1">
              <a:extLst>
                <a:ext uri="{63B3BB69-23CF-44E3-9099-C40C66FF867C}">
                  <a14:compatExt spid="_x0000_s5474"/>
                </a:ext>
                <a:ext uri="{FF2B5EF4-FFF2-40B4-BE49-F238E27FC236}">
                  <a16:creationId xmlns:a16="http://schemas.microsoft.com/office/drawing/2014/main" id="{00000000-0008-0000-0000-00006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63</xdr:row>
          <xdr:rowOff>38100</xdr:rowOff>
        </xdr:from>
        <xdr:to>
          <xdr:col>21</xdr:col>
          <xdr:colOff>342900</xdr:colOff>
          <xdr:row>63</xdr:row>
          <xdr:rowOff>266700</xdr:rowOff>
        </xdr:to>
        <xdr:sp macro="" textlink="">
          <xdr:nvSpPr>
            <xdr:cNvPr id="5475" name="Check Box 1379" hidden="1">
              <a:extLst>
                <a:ext uri="{63B3BB69-23CF-44E3-9099-C40C66FF867C}">
                  <a14:compatExt spid="_x0000_s5475"/>
                </a:ext>
                <a:ext uri="{FF2B5EF4-FFF2-40B4-BE49-F238E27FC236}">
                  <a16:creationId xmlns:a16="http://schemas.microsoft.com/office/drawing/2014/main" id="{00000000-0008-0000-0000-00006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63</xdr:row>
          <xdr:rowOff>38100</xdr:rowOff>
        </xdr:from>
        <xdr:to>
          <xdr:col>22</xdr:col>
          <xdr:colOff>342900</xdr:colOff>
          <xdr:row>63</xdr:row>
          <xdr:rowOff>266700</xdr:rowOff>
        </xdr:to>
        <xdr:sp macro="" textlink="">
          <xdr:nvSpPr>
            <xdr:cNvPr id="5476" name="Check Box 1380" hidden="1">
              <a:extLst>
                <a:ext uri="{63B3BB69-23CF-44E3-9099-C40C66FF867C}">
                  <a14:compatExt spid="_x0000_s5476"/>
                </a:ext>
                <a:ext uri="{FF2B5EF4-FFF2-40B4-BE49-F238E27FC236}">
                  <a16:creationId xmlns:a16="http://schemas.microsoft.com/office/drawing/2014/main" id="{00000000-0008-0000-0000-00006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63</xdr:row>
          <xdr:rowOff>38100</xdr:rowOff>
        </xdr:from>
        <xdr:to>
          <xdr:col>23</xdr:col>
          <xdr:colOff>342900</xdr:colOff>
          <xdr:row>63</xdr:row>
          <xdr:rowOff>266700</xdr:rowOff>
        </xdr:to>
        <xdr:sp macro="" textlink="">
          <xdr:nvSpPr>
            <xdr:cNvPr id="5477" name="Check Box 1381" hidden="1">
              <a:extLst>
                <a:ext uri="{63B3BB69-23CF-44E3-9099-C40C66FF867C}">
                  <a14:compatExt spid="_x0000_s5477"/>
                </a:ext>
                <a:ext uri="{FF2B5EF4-FFF2-40B4-BE49-F238E27FC236}">
                  <a16:creationId xmlns:a16="http://schemas.microsoft.com/office/drawing/2014/main" id="{00000000-0008-0000-0000-00006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63</xdr:row>
          <xdr:rowOff>38100</xdr:rowOff>
        </xdr:from>
        <xdr:to>
          <xdr:col>24</xdr:col>
          <xdr:colOff>342900</xdr:colOff>
          <xdr:row>63</xdr:row>
          <xdr:rowOff>266700</xdr:rowOff>
        </xdr:to>
        <xdr:sp macro="" textlink="">
          <xdr:nvSpPr>
            <xdr:cNvPr id="5478" name="Check Box 1382" hidden="1">
              <a:extLst>
                <a:ext uri="{63B3BB69-23CF-44E3-9099-C40C66FF867C}">
                  <a14:compatExt spid="_x0000_s5478"/>
                </a:ext>
                <a:ext uri="{FF2B5EF4-FFF2-40B4-BE49-F238E27FC236}">
                  <a16:creationId xmlns:a16="http://schemas.microsoft.com/office/drawing/2014/main" id="{00000000-0008-0000-0000-00006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63</xdr:row>
          <xdr:rowOff>38100</xdr:rowOff>
        </xdr:from>
        <xdr:to>
          <xdr:col>25</xdr:col>
          <xdr:colOff>342900</xdr:colOff>
          <xdr:row>63</xdr:row>
          <xdr:rowOff>266700</xdr:rowOff>
        </xdr:to>
        <xdr:sp macro="" textlink="">
          <xdr:nvSpPr>
            <xdr:cNvPr id="5479" name="Check Box 1383" hidden="1">
              <a:extLst>
                <a:ext uri="{63B3BB69-23CF-44E3-9099-C40C66FF867C}">
                  <a14:compatExt spid="_x0000_s5479"/>
                </a:ext>
                <a:ext uri="{FF2B5EF4-FFF2-40B4-BE49-F238E27FC236}">
                  <a16:creationId xmlns:a16="http://schemas.microsoft.com/office/drawing/2014/main" id="{00000000-0008-0000-0000-00006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63</xdr:row>
          <xdr:rowOff>38100</xdr:rowOff>
        </xdr:from>
        <xdr:to>
          <xdr:col>26</xdr:col>
          <xdr:colOff>342900</xdr:colOff>
          <xdr:row>63</xdr:row>
          <xdr:rowOff>266700</xdr:rowOff>
        </xdr:to>
        <xdr:sp macro="" textlink="">
          <xdr:nvSpPr>
            <xdr:cNvPr id="5480" name="Check Box 1384" hidden="1">
              <a:extLst>
                <a:ext uri="{63B3BB69-23CF-44E3-9099-C40C66FF867C}">
                  <a14:compatExt spid="_x0000_s5480"/>
                </a:ext>
                <a:ext uri="{FF2B5EF4-FFF2-40B4-BE49-F238E27FC236}">
                  <a16:creationId xmlns:a16="http://schemas.microsoft.com/office/drawing/2014/main" id="{00000000-0008-0000-0000-00006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63</xdr:row>
          <xdr:rowOff>38100</xdr:rowOff>
        </xdr:from>
        <xdr:to>
          <xdr:col>27</xdr:col>
          <xdr:colOff>342900</xdr:colOff>
          <xdr:row>63</xdr:row>
          <xdr:rowOff>266700</xdr:rowOff>
        </xdr:to>
        <xdr:sp macro="" textlink="">
          <xdr:nvSpPr>
            <xdr:cNvPr id="5481" name="Check Box 1385" hidden="1">
              <a:extLst>
                <a:ext uri="{63B3BB69-23CF-44E3-9099-C40C66FF867C}">
                  <a14:compatExt spid="_x0000_s5481"/>
                </a:ext>
                <a:ext uri="{FF2B5EF4-FFF2-40B4-BE49-F238E27FC236}">
                  <a16:creationId xmlns:a16="http://schemas.microsoft.com/office/drawing/2014/main" id="{00000000-0008-0000-0000-00006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63</xdr:row>
          <xdr:rowOff>38100</xdr:rowOff>
        </xdr:from>
        <xdr:to>
          <xdr:col>28</xdr:col>
          <xdr:colOff>342900</xdr:colOff>
          <xdr:row>63</xdr:row>
          <xdr:rowOff>266700</xdr:rowOff>
        </xdr:to>
        <xdr:sp macro="" textlink="">
          <xdr:nvSpPr>
            <xdr:cNvPr id="5482" name="Check Box 1386" hidden="1">
              <a:extLst>
                <a:ext uri="{63B3BB69-23CF-44E3-9099-C40C66FF867C}">
                  <a14:compatExt spid="_x0000_s5482"/>
                </a:ext>
                <a:ext uri="{FF2B5EF4-FFF2-40B4-BE49-F238E27FC236}">
                  <a16:creationId xmlns:a16="http://schemas.microsoft.com/office/drawing/2014/main" id="{00000000-0008-0000-0000-00006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63</xdr:row>
          <xdr:rowOff>38100</xdr:rowOff>
        </xdr:from>
        <xdr:to>
          <xdr:col>29</xdr:col>
          <xdr:colOff>342900</xdr:colOff>
          <xdr:row>63</xdr:row>
          <xdr:rowOff>266700</xdr:rowOff>
        </xdr:to>
        <xdr:sp macro="" textlink="">
          <xdr:nvSpPr>
            <xdr:cNvPr id="5483" name="Check Box 1387" hidden="1">
              <a:extLst>
                <a:ext uri="{63B3BB69-23CF-44E3-9099-C40C66FF867C}">
                  <a14:compatExt spid="_x0000_s5483"/>
                </a:ext>
                <a:ext uri="{FF2B5EF4-FFF2-40B4-BE49-F238E27FC236}">
                  <a16:creationId xmlns:a16="http://schemas.microsoft.com/office/drawing/2014/main" id="{00000000-0008-0000-0000-00006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63</xdr:row>
          <xdr:rowOff>38100</xdr:rowOff>
        </xdr:from>
        <xdr:to>
          <xdr:col>30</xdr:col>
          <xdr:colOff>342900</xdr:colOff>
          <xdr:row>63</xdr:row>
          <xdr:rowOff>266700</xdr:rowOff>
        </xdr:to>
        <xdr:sp macro="" textlink="">
          <xdr:nvSpPr>
            <xdr:cNvPr id="5484" name="Check Box 1388" hidden="1">
              <a:extLst>
                <a:ext uri="{63B3BB69-23CF-44E3-9099-C40C66FF867C}">
                  <a14:compatExt spid="_x0000_s5484"/>
                </a:ext>
                <a:ext uri="{FF2B5EF4-FFF2-40B4-BE49-F238E27FC236}">
                  <a16:creationId xmlns:a16="http://schemas.microsoft.com/office/drawing/2014/main" id="{00000000-0008-0000-0000-00006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63</xdr:row>
          <xdr:rowOff>38100</xdr:rowOff>
        </xdr:from>
        <xdr:to>
          <xdr:col>31</xdr:col>
          <xdr:colOff>342900</xdr:colOff>
          <xdr:row>63</xdr:row>
          <xdr:rowOff>266700</xdr:rowOff>
        </xdr:to>
        <xdr:sp macro="" textlink="">
          <xdr:nvSpPr>
            <xdr:cNvPr id="5485" name="Check Box 1389" hidden="1">
              <a:extLst>
                <a:ext uri="{63B3BB69-23CF-44E3-9099-C40C66FF867C}">
                  <a14:compatExt spid="_x0000_s5485"/>
                </a:ext>
                <a:ext uri="{FF2B5EF4-FFF2-40B4-BE49-F238E27FC236}">
                  <a16:creationId xmlns:a16="http://schemas.microsoft.com/office/drawing/2014/main" id="{00000000-0008-0000-0000-00006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63</xdr:row>
          <xdr:rowOff>38100</xdr:rowOff>
        </xdr:from>
        <xdr:to>
          <xdr:col>32</xdr:col>
          <xdr:colOff>342900</xdr:colOff>
          <xdr:row>63</xdr:row>
          <xdr:rowOff>266700</xdr:rowOff>
        </xdr:to>
        <xdr:sp macro="" textlink="">
          <xdr:nvSpPr>
            <xdr:cNvPr id="5486" name="Check Box 1390" hidden="1">
              <a:extLst>
                <a:ext uri="{63B3BB69-23CF-44E3-9099-C40C66FF867C}">
                  <a14:compatExt spid="_x0000_s5486"/>
                </a:ext>
                <a:ext uri="{FF2B5EF4-FFF2-40B4-BE49-F238E27FC236}">
                  <a16:creationId xmlns:a16="http://schemas.microsoft.com/office/drawing/2014/main" id="{00000000-0008-0000-0000-00006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63</xdr:row>
          <xdr:rowOff>38100</xdr:rowOff>
        </xdr:from>
        <xdr:to>
          <xdr:col>33</xdr:col>
          <xdr:colOff>342900</xdr:colOff>
          <xdr:row>63</xdr:row>
          <xdr:rowOff>266700</xdr:rowOff>
        </xdr:to>
        <xdr:sp macro="" textlink="">
          <xdr:nvSpPr>
            <xdr:cNvPr id="5487" name="Check Box 1391" hidden="1">
              <a:extLst>
                <a:ext uri="{63B3BB69-23CF-44E3-9099-C40C66FF867C}">
                  <a14:compatExt spid="_x0000_s5487"/>
                </a:ext>
                <a:ext uri="{FF2B5EF4-FFF2-40B4-BE49-F238E27FC236}">
                  <a16:creationId xmlns:a16="http://schemas.microsoft.com/office/drawing/2014/main" id="{00000000-0008-0000-0000-00006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63</xdr:row>
          <xdr:rowOff>38100</xdr:rowOff>
        </xdr:from>
        <xdr:to>
          <xdr:col>34</xdr:col>
          <xdr:colOff>342900</xdr:colOff>
          <xdr:row>63</xdr:row>
          <xdr:rowOff>266700</xdr:rowOff>
        </xdr:to>
        <xdr:sp macro="" textlink="">
          <xdr:nvSpPr>
            <xdr:cNvPr id="5488" name="Check Box 1392" hidden="1">
              <a:extLst>
                <a:ext uri="{63B3BB69-23CF-44E3-9099-C40C66FF867C}">
                  <a14:compatExt spid="_x0000_s5488"/>
                </a:ext>
                <a:ext uri="{FF2B5EF4-FFF2-40B4-BE49-F238E27FC236}">
                  <a16:creationId xmlns:a16="http://schemas.microsoft.com/office/drawing/2014/main" id="{00000000-0008-0000-0000-00007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63</xdr:row>
          <xdr:rowOff>38100</xdr:rowOff>
        </xdr:from>
        <xdr:to>
          <xdr:col>35</xdr:col>
          <xdr:colOff>342900</xdr:colOff>
          <xdr:row>63</xdr:row>
          <xdr:rowOff>266700</xdr:rowOff>
        </xdr:to>
        <xdr:sp macro="" textlink="">
          <xdr:nvSpPr>
            <xdr:cNvPr id="5489" name="Check Box 1393" hidden="1">
              <a:extLst>
                <a:ext uri="{63B3BB69-23CF-44E3-9099-C40C66FF867C}">
                  <a14:compatExt spid="_x0000_s5489"/>
                </a:ext>
                <a:ext uri="{FF2B5EF4-FFF2-40B4-BE49-F238E27FC236}">
                  <a16:creationId xmlns:a16="http://schemas.microsoft.com/office/drawing/2014/main" id="{00000000-0008-0000-0000-00007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63</xdr:row>
          <xdr:rowOff>38100</xdr:rowOff>
        </xdr:from>
        <xdr:to>
          <xdr:col>36</xdr:col>
          <xdr:colOff>342900</xdr:colOff>
          <xdr:row>63</xdr:row>
          <xdr:rowOff>266700</xdr:rowOff>
        </xdr:to>
        <xdr:sp macro="" textlink="">
          <xdr:nvSpPr>
            <xdr:cNvPr id="5490" name="Check Box 1394" hidden="1">
              <a:extLst>
                <a:ext uri="{63B3BB69-23CF-44E3-9099-C40C66FF867C}">
                  <a14:compatExt spid="_x0000_s5490"/>
                </a:ext>
                <a:ext uri="{FF2B5EF4-FFF2-40B4-BE49-F238E27FC236}">
                  <a16:creationId xmlns:a16="http://schemas.microsoft.com/office/drawing/2014/main" id="{00000000-0008-0000-0000-00007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63</xdr:row>
          <xdr:rowOff>38100</xdr:rowOff>
        </xdr:from>
        <xdr:to>
          <xdr:col>37</xdr:col>
          <xdr:colOff>342900</xdr:colOff>
          <xdr:row>63</xdr:row>
          <xdr:rowOff>266700</xdr:rowOff>
        </xdr:to>
        <xdr:sp macro="" textlink="">
          <xdr:nvSpPr>
            <xdr:cNvPr id="5491" name="Check Box 1395" hidden="1">
              <a:extLst>
                <a:ext uri="{63B3BB69-23CF-44E3-9099-C40C66FF867C}">
                  <a14:compatExt spid="_x0000_s5491"/>
                </a:ext>
                <a:ext uri="{FF2B5EF4-FFF2-40B4-BE49-F238E27FC236}">
                  <a16:creationId xmlns:a16="http://schemas.microsoft.com/office/drawing/2014/main" id="{00000000-0008-0000-0000-00007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64</xdr:row>
          <xdr:rowOff>38100</xdr:rowOff>
        </xdr:from>
        <xdr:to>
          <xdr:col>7</xdr:col>
          <xdr:colOff>342900</xdr:colOff>
          <xdr:row>64</xdr:row>
          <xdr:rowOff>266700</xdr:rowOff>
        </xdr:to>
        <xdr:sp macro="" textlink="">
          <xdr:nvSpPr>
            <xdr:cNvPr id="5492" name="Check Box 1396" hidden="1">
              <a:extLst>
                <a:ext uri="{63B3BB69-23CF-44E3-9099-C40C66FF867C}">
                  <a14:compatExt spid="_x0000_s5492"/>
                </a:ext>
                <a:ext uri="{FF2B5EF4-FFF2-40B4-BE49-F238E27FC236}">
                  <a16:creationId xmlns:a16="http://schemas.microsoft.com/office/drawing/2014/main" id="{00000000-0008-0000-0000-00007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64</xdr:row>
          <xdr:rowOff>38100</xdr:rowOff>
        </xdr:from>
        <xdr:to>
          <xdr:col>8</xdr:col>
          <xdr:colOff>342900</xdr:colOff>
          <xdr:row>64</xdr:row>
          <xdr:rowOff>266700</xdr:rowOff>
        </xdr:to>
        <xdr:sp macro="" textlink="">
          <xdr:nvSpPr>
            <xdr:cNvPr id="5493" name="Check Box 1397" hidden="1">
              <a:extLst>
                <a:ext uri="{63B3BB69-23CF-44E3-9099-C40C66FF867C}">
                  <a14:compatExt spid="_x0000_s5493"/>
                </a:ext>
                <a:ext uri="{FF2B5EF4-FFF2-40B4-BE49-F238E27FC236}">
                  <a16:creationId xmlns:a16="http://schemas.microsoft.com/office/drawing/2014/main" id="{00000000-0008-0000-0000-00007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64</xdr:row>
          <xdr:rowOff>38100</xdr:rowOff>
        </xdr:from>
        <xdr:to>
          <xdr:col>9</xdr:col>
          <xdr:colOff>342900</xdr:colOff>
          <xdr:row>64</xdr:row>
          <xdr:rowOff>266700</xdr:rowOff>
        </xdr:to>
        <xdr:sp macro="" textlink="">
          <xdr:nvSpPr>
            <xdr:cNvPr id="5494" name="Check Box 1398" hidden="1">
              <a:extLst>
                <a:ext uri="{63B3BB69-23CF-44E3-9099-C40C66FF867C}">
                  <a14:compatExt spid="_x0000_s5494"/>
                </a:ext>
                <a:ext uri="{FF2B5EF4-FFF2-40B4-BE49-F238E27FC236}">
                  <a16:creationId xmlns:a16="http://schemas.microsoft.com/office/drawing/2014/main" id="{00000000-0008-0000-0000-00007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64</xdr:row>
          <xdr:rowOff>38100</xdr:rowOff>
        </xdr:from>
        <xdr:to>
          <xdr:col>10</xdr:col>
          <xdr:colOff>342900</xdr:colOff>
          <xdr:row>64</xdr:row>
          <xdr:rowOff>266700</xdr:rowOff>
        </xdr:to>
        <xdr:sp macro="" textlink="">
          <xdr:nvSpPr>
            <xdr:cNvPr id="5495" name="Check Box 1399" hidden="1">
              <a:extLst>
                <a:ext uri="{63B3BB69-23CF-44E3-9099-C40C66FF867C}">
                  <a14:compatExt spid="_x0000_s5495"/>
                </a:ext>
                <a:ext uri="{FF2B5EF4-FFF2-40B4-BE49-F238E27FC236}">
                  <a16:creationId xmlns:a16="http://schemas.microsoft.com/office/drawing/2014/main" id="{00000000-0008-0000-0000-00007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64</xdr:row>
          <xdr:rowOff>38100</xdr:rowOff>
        </xdr:from>
        <xdr:to>
          <xdr:col>11</xdr:col>
          <xdr:colOff>342900</xdr:colOff>
          <xdr:row>64</xdr:row>
          <xdr:rowOff>266700</xdr:rowOff>
        </xdr:to>
        <xdr:sp macro="" textlink="">
          <xdr:nvSpPr>
            <xdr:cNvPr id="5496" name="Check Box 1400" hidden="1">
              <a:extLst>
                <a:ext uri="{63B3BB69-23CF-44E3-9099-C40C66FF867C}">
                  <a14:compatExt spid="_x0000_s5496"/>
                </a:ext>
                <a:ext uri="{FF2B5EF4-FFF2-40B4-BE49-F238E27FC236}">
                  <a16:creationId xmlns:a16="http://schemas.microsoft.com/office/drawing/2014/main" id="{00000000-0008-0000-0000-00007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64</xdr:row>
          <xdr:rowOff>38100</xdr:rowOff>
        </xdr:from>
        <xdr:to>
          <xdr:col>12</xdr:col>
          <xdr:colOff>342900</xdr:colOff>
          <xdr:row>64</xdr:row>
          <xdr:rowOff>266700</xdr:rowOff>
        </xdr:to>
        <xdr:sp macro="" textlink="">
          <xdr:nvSpPr>
            <xdr:cNvPr id="5497" name="Check Box 1401" hidden="1">
              <a:extLst>
                <a:ext uri="{63B3BB69-23CF-44E3-9099-C40C66FF867C}">
                  <a14:compatExt spid="_x0000_s5497"/>
                </a:ext>
                <a:ext uri="{FF2B5EF4-FFF2-40B4-BE49-F238E27FC236}">
                  <a16:creationId xmlns:a16="http://schemas.microsoft.com/office/drawing/2014/main" id="{00000000-0008-0000-0000-00007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64</xdr:row>
          <xdr:rowOff>38100</xdr:rowOff>
        </xdr:from>
        <xdr:to>
          <xdr:col>13</xdr:col>
          <xdr:colOff>342900</xdr:colOff>
          <xdr:row>64</xdr:row>
          <xdr:rowOff>266700</xdr:rowOff>
        </xdr:to>
        <xdr:sp macro="" textlink="">
          <xdr:nvSpPr>
            <xdr:cNvPr id="5498" name="Check Box 1402" hidden="1">
              <a:extLst>
                <a:ext uri="{63B3BB69-23CF-44E3-9099-C40C66FF867C}">
                  <a14:compatExt spid="_x0000_s5498"/>
                </a:ext>
                <a:ext uri="{FF2B5EF4-FFF2-40B4-BE49-F238E27FC236}">
                  <a16:creationId xmlns:a16="http://schemas.microsoft.com/office/drawing/2014/main" id="{00000000-0008-0000-0000-00007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64</xdr:row>
          <xdr:rowOff>38100</xdr:rowOff>
        </xdr:from>
        <xdr:to>
          <xdr:col>14</xdr:col>
          <xdr:colOff>342900</xdr:colOff>
          <xdr:row>64</xdr:row>
          <xdr:rowOff>266700</xdr:rowOff>
        </xdr:to>
        <xdr:sp macro="" textlink="">
          <xdr:nvSpPr>
            <xdr:cNvPr id="5499" name="Check Box 1403" hidden="1">
              <a:extLst>
                <a:ext uri="{63B3BB69-23CF-44E3-9099-C40C66FF867C}">
                  <a14:compatExt spid="_x0000_s5499"/>
                </a:ext>
                <a:ext uri="{FF2B5EF4-FFF2-40B4-BE49-F238E27FC236}">
                  <a16:creationId xmlns:a16="http://schemas.microsoft.com/office/drawing/2014/main" id="{00000000-0008-0000-0000-00007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64</xdr:row>
          <xdr:rowOff>38100</xdr:rowOff>
        </xdr:from>
        <xdr:to>
          <xdr:col>15</xdr:col>
          <xdr:colOff>342900</xdr:colOff>
          <xdr:row>64</xdr:row>
          <xdr:rowOff>266700</xdr:rowOff>
        </xdr:to>
        <xdr:sp macro="" textlink="">
          <xdr:nvSpPr>
            <xdr:cNvPr id="5500" name="Check Box 1404" hidden="1">
              <a:extLst>
                <a:ext uri="{63B3BB69-23CF-44E3-9099-C40C66FF867C}">
                  <a14:compatExt spid="_x0000_s5500"/>
                </a:ext>
                <a:ext uri="{FF2B5EF4-FFF2-40B4-BE49-F238E27FC236}">
                  <a16:creationId xmlns:a16="http://schemas.microsoft.com/office/drawing/2014/main" id="{00000000-0008-0000-0000-00007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64</xdr:row>
          <xdr:rowOff>38100</xdr:rowOff>
        </xdr:from>
        <xdr:to>
          <xdr:col>16</xdr:col>
          <xdr:colOff>342900</xdr:colOff>
          <xdr:row>64</xdr:row>
          <xdr:rowOff>266700</xdr:rowOff>
        </xdr:to>
        <xdr:sp macro="" textlink="">
          <xdr:nvSpPr>
            <xdr:cNvPr id="5501" name="Check Box 1405" hidden="1">
              <a:extLst>
                <a:ext uri="{63B3BB69-23CF-44E3-9099-C40C66FF867C}">
                  <a14:compatExt spid="_x0000_s5501"/>
                </a:ext>
                <a:ext uri="{FF2B5EF4-FFF2-40B4-BE49-F238E27FC236}">
                  <a16:creationId xmlns:a16="http://schemas.microsoft.com/office/drawing/2014/main" id="{00000000-0008-0000-0000-00007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64</xdr:row>
          <xdr:rowOff>38100</xdr:rowOff>
        </xdr:from>
        <xdr:to>
          <xdr:col>17</xdr:col>
          <xdr:colOff>342900</xdr:colOff>
          <xdr:row>64</xdr:row>
          <xdr:rowOff>266700</xdr:rowOff>
        </xdr:to>
        <xdr:sp macro="" textlink="">
          <xdr:nvSpPr>
            <xdr:cNvPr id="5502" name="Check Box 1406" hidden="1">
              <a:extLst>
                <a:ext uri="{63B3BB69-23CF-44E3-9099-C40C66FF867C}">
                  <a14:compatExt spid="_x0000_s5502"/>
                </a:ext>
                <a:ext uri="{FF2B5EF4-FFF2-40B4-BE49-F238E27FC236}">
                  <a16:creationId xmlns:a16="http://schemas.microsoft.com/office/drawing/2014/main" id="{00000000-0008-0000-0000-00007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64</xdr:row>
          <xdr:rowOff>38100</xdr:rowOff>
        </xdr:from>
        <xdr:to>
          <xdr:col>18</xdr:col>
          <xdr:colOff>342900</xdr:colOff>
          <xdr:row>64</xdr:row>
          <xdr:rowOff>266700</xdr:rowOff>
        </xdr:to>
        <xdr:sp macro="" textlink="">
          <xdr:nvSpPr>
            <xdr:cNvPr id="5503" name="Check Box 1407" hidden="1">
              <a:extLst>
                <a:ext uri="{63B3BB69-23CF-44E3-9099-C40C66FF867C}">
                  <a14:compatExt spid="_x0000_s5503"/>
                </a:ext>
                <a:ext uri="{FF2B5EF4-FFF2-40B4-BE49-F238E27FC236}">
                  <a16:creationId xmlns:a16="http://schemas.microsoft.com/office/drawing/2014/main" id="{00000000-0008-0000-0000-00007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64</xdr:row>
          <xdr:rowOff>38100</xdr:rowOff>
        </xdr:from>
        <xdr:to>
          <xdr:col>19</xdr:col>
          <xdr:colOff>342900</xdr:colOff>
          <xdr:row>64</xdr:row>
          <xdr:rowOff>266700</xdr:rowOff>
        </xdr:to>
        <xdr:sp macro="" textlink="">
          <xdr:nvSpPr>
            <xdr:cNvPr id="5504" name="Check Box 1408" hidden="1">
              <a:extLst>
                <a:ext uri="{63B3BB69-23CF-44E3-9099-C40C66FF867C}">
                  <a14:compatExt spid="_x0000_s5504"/>
                </a:ext>
                <a:ext uri="{FF2B5EF4-FFF2-40B4-BE49-F238E27FC236}">
                  <a16:creationId xmlns:a16="http://schemas.microsoft.com/office/drawing/2014/main" id="{00000000-0008-0000-0000-00008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64</xdr:row>
          <xdr:rowOff>38100</xdr:rowOff>
        </xdr:from>
        <xdr:to>
          <xdr:col>20</xdr:col>
          <xdr:colOff>342900</xdr:colOff>
          <xdr:row>64</xdr:row>
          <xdr:rowOff>266700</xdr:rowOff>
        </xdr:to>
        <xdr:sp macro="" textlink="">
          <xdr:nvSpPr>
            <xdr:cNvPr id="5505" name="Check Box 1409" hidden="1">
              <a:extLst>
                <a:ext uri="{63B3BB69-23CF-44E3-9099-C40C66FF867C}">
                  <a14:compatExt spid="_x0000_s5505"/>
                </a:ext>
                <a:ext uri="{FF2B5EF4-FFF2-40B4-BE49-F238E27FC236}">
                  <a16:creationId xmlns:a16="http://schemas.microsoft.com/office/drawing/2014/main" id="{00000000-0008-0000-0000-00008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64</xdr:row>
          <xdr:rowOff>38100</xdr:rowOff>
        </xdr:from>
        <xdr:to>
          <xdr:col>21</xdr:col>
          <xdr:colOff>342900</xdr:colOff>
          <xdr:row>64</xdr:row>
          <xdr:rowOff>266700</xdr:rowOff>
        </xdr:to>
        <xdr:sp macro="" textlink="">
          <xdr:nvSpPr>
            <xdr:cNvPr id="5506" name="Check Box 1410" hidden="1">
              <a:extLst>
                <a:ext uri="{63B3BB69-23CF-44E3-9099-C40C66FF867C}">
                  <a14:compatExt spid="_x0000_s5506"/>
                </a:ext>
                <a:ext uri="{FF2B5EF4-FFF2-40B4-BE49-F238E27FC236}">
                  <a16:creationId xmlns:a16="http://schemas.microsoft.com/office/drawing/2014/main" id="{00000000-0008-0000-0000-00008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64</xdr:row>
          <xdr:rowOff>38100</xdr:rowOff>
        </xdr:from>
        <xdr:to>
          <xdr:col>22</xdr:col>
          <xdr:colOff>342900</xdr:colOff>
          <xdr:row>64</xdr:row>
          <xdr:rowOff>266700</xdr:rowOff>
        </xdr:to>
        <xdr:sp macro="" textlink="">
          <xdr:nvSpPr>
            <xdr:cNvPr id="5507" name="Check Box 1411" hidden="1">
              <a:extLst>
                <a:ext uri="{63B3BB69-23CF-44E3-9099-C40C66FF867C}">
                  <a14:compatExt spid="_x0000_s5507"/>
                </a:ext>
                <a:ext uri="{FF2B5EF4-FFF2-40B4-BE49-F238E27FC236}">
                  <a16:creationId xmlns:a16="http://schemas.microsoft.com/office/drawing/2014/main" id="{00000000-0008-0000-0000-00008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64</xdr:row>
          <xdr:rowOff>38100</xdr:rowOff>
        </xdr:from>
        <xdr:to>
          <xdr:col>23</xdr:col>
          <xdr:colOff>342900</xdr:colOff>
          <xdr:row>64</xdr:row>
          <xdr:rowOff>266700</xdr:rowOff>
        </xdr:to>
        <xdr:sp macro="" textlink="">
          <xdr:nvSpPr>
            <xdr:cNvPr id="5508" name="Check Box 1412" hidden="1">
              <a:extLst>
                <a:ext uri="{63B3BB69-23CF-44E3-9099-C40C66FF867C}">
                  <a14:compatExt spid="_x0000_s5508"/>
                </a:ext>
                <a:ext uri="{FF2B5EF4-FFF2-40B4-BE49-F238E27FC236}">
                  <a16:creationId xmlns:a16="http://schemas.microsoft.com/office/drawing/2014/main" id="{00000000-0008-0000-0000-00008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64</xdr:row>
          <xdr:rowOff>38100</xdr:rowOff>
        </xdr:from>
        <xdr:to>
          <xdr:col>24</xdr:col>
          <xdr:colOff>342900</xdr:colOff>
          <xdr:row>64</xdr:row>
          <xdr:rowOff>266700</xdr:rowOff>
        </xdr:to>
        <xdr:sp macro="" textlink="">
          <xdr:nvSpPr>
            <xdr:cNvPr id="5509" name="Check Box 1413" hidden="1">
              <a:extLst>
                <a:ext uri="{63B3BB69-23CF-44E3-9099-C40C66FF867C}">
                  <a14:compatExt spid="_x0000_s5509"/>
                </a:ext>
                <a:ext uri="{FF2B5EF4-FFF2-40B4-BE49-F238E27FC236}">
                  <a16:creationId xmlns:a16="http://schemas.microsoft.com/office/drawing/2014/main" id="{00000000-0008-0000-0000-00008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64</xdr:row>
          <xdr:rowOff>38100</xdr:rowOff>
        </xdr:from>
        <xdr:to>
          <xdr:col>25</xdr:col>
          <xdr:colOff>342900</xdr:colOff>
          <xdr:row>64</xdr:row>
          <xdr:rowOff>266700</xdr:rowOff>
        </xdr:to>
        <xdr:sp macro="" textlink="">
          <xdr:nvSpPr>
            <xdr:cNvPr id="5510" name="Check Box 1414" hidden="1">
              <a:extLst>
                <a:ext uri="{63B3BB69-23CF-44E3-9099-C40C66FF867C}">
                  <a14:compatExt spid="_x0000_s5510"/>
                </a:ext>
                <a:ext uri="{FF2B5EF4-FFF2-40B4-BE49-F238E27FC236}">
                  <a16:creationId xmlns:a16="http://schemas.microsoft.com/office/drawing/2014/main" id="{00000000-0008-0000-0000-00008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64</xdr:row>
          <xdr:rowOff>38100</xdr:rowOff>
        </xdr:from>
        <xdr:to>
          <xdr:col>26</xdr:col>
          <xdr:colOff>342900</xdr:colOff>
          <xdr:row>64</xdr:row>
          <xdr:rowOff>266700</xdr:rowOff>
        </xdr:to>
        <xdr:sp macro="" textlink="">
          <xdr:nvSpPr>
            <xdr:cNvPr id="5511" name="Check Box 1415" hidden="1">
              <a:extLst>
                <a:ext uri="{63B3BB69-23CF-44E3-9099-C40C66FF867C}">
                  <a14:compatExt spid="_x0000_s5511"/>
                </a:ext>
                <a:ext uri="{FF2B5EF4-FFF2-40B4-BE49-F238E27FC236}">
                  <a16:creationId xmlns:a16="http://schemas.microsoft.com/office/drawing/2014/main" id="{00000000-0008-0000-0000-00008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64</xdr:row>
          <xdr:rowOff>38100</xdr:rowOff>
        </xdr:from>
        <xdr:to>
          <xdr:col>27</xdr:col>
          <xdr:colOff>342900</xdr:colOff>
          <xdr:row>64</xdr:row>
          <xdr:rowOff>266700</xdr:rowOff>
        </xdr:to>
        <xdr:sp macro="" textlink="">
          <xdr:nvSpPr>
            <xdr:cNvPr id="5512" name="Check Box 1416" hidden="1">
              <a:extLst>
                <a:ext uri="{63B3BB69-23CF-44E3-9099-C40C66FF867C}">
                  <a14:compatExt spid="_x0000_s5512"/>
                </a:ext>
                <a:ext uri="{FF2B5EF4-FFF2-40B4-BE49-F238E27FC236}">
                  <a16:creationId xmlns:a16="http://schemas.microsoft.com/office/drawing/2014/main" id="{00000000-0008-0000-0000-00008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64</xdr:row>
          <xdr:rowOff>38100</xdr:rowOff>
        </xdr:from>
        <xdr:to>
          <xdr:col>28</xdr:col>
          <xdr:colOff>342900</xdr:colOff>
          <xdr:row>64</xdr:row>
          <xdr:rowOff>266700</xdr:rowOff>
        </xdr:to>
        <xdr:sp macro="" textlink="">
          <xdr:nvSpPr>
            <xdr:cNvPr id="5513" name="Check Box 1417" hidden="1">
              <a:extLst>
                <a:ext uri="{63B3BB69-23CF-44E3-9099-C40C66FF867C}">
                  <a14:compatExt spid="_x0000_s5513"/>
                </a:ext>
                <a:ext uri="{FF2B5EF4-FFF2-40B4-BE49-F238E27FC236}">
                  <a16:creationId xmlns:a16="http://schemas.microsoft.com/office/drawing/2014/main" id="{00000000-0008-0000-0000-00008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64</xdr:row>
          <xdr:rowOff>38100</xdr:rowOff>
        </xdr:from>
        <xdr:to>
          <xdr:col>29</xdr:col>
          <xdr:colOff>342900</xdr:colOff>
          <xdr:row>64</xdr:row>
          <xdr:rowOff>266700</xdr:rowOff>
        </xdr:to>
        <xdr:sp macro="" textlink="">
          <xdr:nvSpPr>
            <xdr:cNvPr id="5514" name="Check Box 1418" hidden="1">
              <a:extLst>
                <a:ext uri="{63B3BB69-23CF-44E3-9099-C40C66FF867C}">
                  <a14:compatExt spid="_x0000_s5514"/>
                </a:ext>
                <a:ext uri="{FF2B5EF4-FFF2-40B4-BE49-F238E27FC236}">
                  <a16:creationId xmlns:a16="http://schemas.microsoft.com/office/drawing/2014/main" id="{00000000-0008-0000-0000-00008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64</xdr:row>
          <xdr:rowOff>38100</xdr:rowOff>
        </xdr:from>
        <xdr:to>
          <xdr:col>30</xdr:col>
          <xdr:colOff>342900</xdr:colOff>
          <xdr:row>64</xdr:row>
          <xdr:rowOff>266700</xdr:rowOff>
        </xdr:to>
        <xdr:sp macro="" textlink="">
          <xdr:nvSpPr>
            <xdr:cNvPr id="5515" name="Check Box 1419" hidden="1">
              <a:extLst>
                <a:ext uri="{63B3BB69-23CF-44E3-9099-C40C66FF867C}">
                  <a14:compatExt spid="_x0000_s5515"/>
                </a:ext>
                <a:ext uri="{FF2B5EF4-FFF2-40B4-BE49-F238E27FC236}">
                  <a16:creationId xmlns:a16="http://schemas.microsoft.com/office/drawing/2014/main" id="{00000000-0008-0000-0000-00008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64</xdr:row>
          <xdr:rowOff>38100</xdr:rowOff>
        </xdr:from>
        <xdr:to>
          <xdr:col>31</xdr:col>
          <xdr:colOff>342900</xdr:colOff>
          <xdr:row>64</xdr:row>
          <xdr:rowOff>266700</xdr:rowOff>
        </xdr:to>
        <xdr:sp macro="" textlink="">
          <xdr:nvSpPr>
            <xdr:cNvPr id="5516" name="Check Box 1420" hidden="1">
              <a:extLst>
                <a:ext uri="{63B3BB69-23CF-44E3-9099-C40C66FF867C}">
                  <a14:compatExt spid="_x0000_s5516"/>
                </a:ext>
                <a:ext uri="{FF2B5EF4-FFF2-40B4-BE49-F238E27FC236}">
                  <a16:creationId xmlns:a16="http://schemas.microsoft.com/office/drawing/2014/main" id="{00000000-0008-0000-0000-00008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64</xdr:row>
          <xdr:rowOff>38100</xdr:rowOff>
        </xdr:from>
        <xdr:to>
          <xdr:col>32</xdr:col>
          <xdr:colOff>342900</xdr:colOff>
          <xdr:row>64</xdr:row>
          <xdr:rowOff>266700</xdr:rowOff>
        </xdr:to>
        <xdr:sp macro="" textlink="">
          <xdr:nvSpPr>
            <xdr:cNvPr id="5517" name="Check Box 1421" hidden="1">
              <a:extLst>
                <a:ext uri="{63B3BB69-23CF-44E3-9099-C40C66FF867C}">
                  <a14:compatExt spid="_x0000_s5517"/>
                </a:ext>
                <a:ext uri="{FF2B5EF4-FFF2-40B4-BE49-F238E27FC236}">
                  <a16:creationId xmlns:a16="http://schemas.microsoft.com/office/drawing/2014/main" id="{00000000-0008-0000-0000-00008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64</xdr:row>
          <xdr:rowOff>38100</xdr:rowOff>
        </xdr:from>
        <xdr:to>
          <xdr:col>33</xdr:col>
          <xdr:colOff>342900</xdr:colOff>
          <xdr:row>64</xdr:row>
          <xdr:rowOff>266700</xdr:rowOff>
        </xdr:to>
        <xdr:sp macro="" textlink="">
          <xdr:nvSpPr>
            <xdr:cNvPr id="5518" name="Check Box 1422" hidden="1">
              <a:extLst>
                <a:ext uri="{63B3BB69-23CF-44E3-9099-C40C66FF867C}">
                  <a14:compatExt spid="_x0000_s5518"/>
                </a:ext>
                <a:ext uri="{FF2B5EF4-FFF2-40B4-BE49-F238E27FC236}">
                  <a16:creationId xmlns:a16="http://schemas.microsoft.com/office/drawing/2014/main" id="{00000000-0008-0000-0000-00008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64</xdr:row>
          <xdr:rowOff>38100</xdr:rowOff>
        </xdr:from>
        <xdr:to>
          <xdr:col>34</xdr:col>
          <xdr:colOff>342900</xdr:colOff>
          <xdr:row>64</xdr:row>
          <xdr:rowOff>266700</xdr:rowOff>
        </xdr:to>
        <xdr:sp macro="" textlink="">
          <xdr:nvSpPr>
            <xdr:cNvPr id="5519" name="Check Box 1423" hidden="1">
              <a:extLst>
                <a:ext uri="{63B3BB69-23CF-44E3-9099-C40C66FF867C}">
                  <a14:compatExt spid="_x0000_s5519"/>
                </a:ext>
                <a:ext uri="{FF2B5EF4-FFF2-40B4-BE49-F238E27FC236}">
                  <a16:creationId xmlns:a16="http://schemas.microsoft.com/office/drawing/2014/main" id="{00000000-0008-0000-0000-00008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64</xdr:row>
          <xdr:rowOff>38100</xdr:rowOff>
        </xdr:from>
        <xdr:to>
          <xdr:col>35</xdr:col>
          <xdr:colOff>342900</xdr:colOff>
          <xdr:row>64</xdr:row>
          <xdr:rowOff>266700</xdr:rowOff>
        </xdr:to>
        <xdr:sp macro="" textlink="">
          <xdr:nvSpPr>
            <xdr:cNvPr id="5520" name="Check Box 1424" hidden="1">
              <a:extLst>
                <a:ext uri="{63B3BB69-23CF-44E3-9099-C40C66FF867C}">
                  <a14:compatExt spid="_x0000_s5520"/>
                </a:ext>
                <a:ext uri="{FF2B5EF4-FFF2-40B4-BE49-F238E27FC236}">
                  <a16:creationId xmlns:a16="http://schemas.microsoft.com/office/drawing/2014/main" id="{00000000-0008-0000-0000-00009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64</xdr:row>
          <xdr:rowOff>38100</xdr:rowOff>
        </xdr:from>
        <xdr:to>
          <xdr:col>36</xdr:col>
          <xdr:colOff>342900</xdr:colOff>
          <xdr:row>64</xdr:row>
          <xdr:rowOff>266700</xdr:rowOff>
        </xdr:to>
        <xdr:sp macro="" textlink="">
          <xdr:nvSpPr>
            <xdr:cNvPr id="5521" name="Check Box 1425" hidden="1">
              <a:extLst>
                <a:ext uri="{63B3BB69-23CF-44E3-9099-C40C66FF867C}">
                  <a14:compatExt spid="_x0000_s5521"/>
                </a:ext>
                <a:ext uri="{FF2B5EF4-FFF2-40B4-BE49-F238E27FC236}">
                  <a16:creationId xmlns:a16="http://schemas.microsoft.com/office/drawing/2014/main" id="{00000000-0008-0000-0000-00009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64</xdr:row>
          <xdr:rowOff>38100</xdr:rowOff>
        </xdr:from>
        <xdr:to>
          <xdr:col>37</xdr:col>
          <xdr:colOff>342900</xdr:colOff>
          <xdr:row>64</xdr:row>
          <xdr:rowOff>266700</xdr:rowOff>
        </xdr:to>
        <xdr:sp macro="" textlink="">
          <xdr:nvSpPr>
            <xdr:cNvPr id="5522" name="Check Box 1426" hidden="1">
              <a:extLst>
                <a:ext uri="{63B3BB69-23CF-44E3-9099-C40C66FF867C}">
                  <a14:compatExt spid="_x0000_s5522"/>
                </a:ext>
                <a:ext uri="{FF2B5EF4-FFF2-40B4-BE49-F238E27FC236}">
                  <a16:creationId xmlns:a16="http://schemas.microsoft.com/office/drawing/2014/main" id="{00000000-0008-0000-0000-00009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65</xdr:row>
          <xdr:rowOff>38100</xdr:rowOff>
        </xdr:from>
        <xdr:to>
          <xdr:col>7</xdr:col>
          <xdr:colOff>342900</xdr:colOff>
          <xdr:row>65</xdr:row>
          <xdr:rowOff>266700</xdr:rowOff>
        </xdr:to>
        <xdr:sp macro="" textlink="">
          <xdr:nvSpPr>
            <xdr:cNvPr id="5523" name="Check Box 1427" hidden="1">
              <a:extLst>
                <a:ext uri="{63B3BB69-23CF-44E3-9099-C40C66FF867C}">
                  <a14:compatExt spid="_x0000_s5523"/>
                </a:ext>
                <a:ext uri="{FF2B5EF4-FFF2-40B4-BE49-F238E27FC236}">
                  <a16:creationId xmlns:a16="http://schemas.microsoft.com/office/drawing/2014/main" id="{00000000-0008-0000-0000-00009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65</xdr:row>
          <xdr:rowOff>38100</xdr:rowOff>
        </xdr:from>
        <xdr:to>
          <xdr:col>8</xdr:col>
          <xdr:colOff>342900</xdr:colOff>
          <xdr:row>65</xdr:row>
          <xdr:rowOff>266700</xdr:rowOff>
        </xdr:to>
        <xdr:sp macro="" textlink="">
          <xdr:nvSpPr>
            <xdr:cNvPr id="5524" name="Check Box 1428" hidden="1">
              <a:extLst>
                <a:ext uri="{63B3BB69-23CF-44E3-9099-C40C66FF867C}">
                  <a14:compatExt spid="_x0000_s5524"/>
                </a:ext>
                <a:ext uri="{FF2B5EF4-FFF2-40B4-BE49-F238E27FC236}">
                  <a16:creationId xmlns:a16="http://schemas.microsoft.com/office/drawing/2014/main" id="{00000000-0008-0000-0000-00009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65</xdr:row>
          <xdr:rowOff>38100</xdr:rowOff>
        </xdr:from>
        <xdr:to>
          <xdr:col>9</xdr:col>
          <xdr:colOff>342900</xdr:colOff>
          <xdr:row>65</xdr:row>
          <xdr:rowOff>266700</xdr:rowOff>
        </xdr:to>
        <xdr:sp macro="" textlink="">
          <xdr:nvSpPr>
            <xdr:cNvPr id="5525" name="Check Box 1429" hidden="1">
              <a:extLst>
                <a:ext uri="{63B3BB69-23CF-44E3-9099-C40C66FF867C}">
                  <a14:compatExt spid="_x0000_s5525"/>
                </a:ext>
                <a:ext uri="{FF2B5EF4-FFF2-40B4-BE49-F238E27FC236}">
                  <a16:creationId xmlns:a16="http://schemas.microsoft.com/office/drawing/2014/main" id="{00000000-0008-0000-0000-00009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65</xdr:row>
          <xdr:rowOff>38100</xdr:rowOff>
        </xdr:from>
        <xdr:to>
          <xdr:col>10</xdr:col>
          <xdr:colOff>342900</xdr:colOff>
          <xdr:row>65</xdr:row>
          <xdr:rowOff>266700</xdr:rowOff>
        </xdr:to>
        <xdr:sp macro="" textlink="">
          <xdr:nvSpPr>
            <xdr:cNvPr id="5526" name="Check Box 1430" hidden="1">
              <a:extLst>
                <a:ext uri="{63B3BB69-23CF-44E3-9099-C40C66FF867C}">
                  <a14:compatExt spid="_x0000_s5526"/>
                </a:ext>
                <a:ext uri="{FF2B5EF4-FFF2-40B4-BE49-F238E27FC236}">
                  <a16:creationId xmlns:a16="http://schemas.microsoft.com/office/drawing/2014/main" id="{00000000-0008-0000-0000-00009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65</xdr:row>
          <xdr:rowOff>38100</xdr:rowOff>
        </xdr:from>
        <xdr:to>
          <xdr:col>11</xdr:col>
          <xdr:colOff>342900</xdr:colOff>
          <xdr:row>65</xdr:row>
          <xdr:rowOff>266700</xdr:rowOff>
        </xdr:to>
        <xdr:sp macro="" textlink="">
          <xdr:nvSpPr>
            <xdr:cNvPr id="5527" name="Check Box 1431" hidden="1">
              <a:extLst>
                <a:ext uri="{63B3BB69-23CF-44E3-9099-C40C66FF867C}">
                  <a14:compatExt spid="_x0000_s5527"/>
                </a:ext>
                <a:ext uri="{FF2B5EF4-FFF2-40B4-BE49-F238E27FC236}">
                  <a16:creationId xmlns:a16="http://schemas.microsoft.com/office/drawing/2014/main" id="{00000000-0008-0000-0000-00009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65</xdr:row>
          <xdr:rowOff>38100</xdr:rowOff>
        </xdr:from>
        <xdr:to>
          <xdr:col>12</xdr:col>
          <xdr:colOff>342900</xdr:colOff>
          <xdr:row>65</xdr:row>
          <xdr:rowOff>266700</xdr:rowOff>
        </xdr:to>
        <xdr:sp macro="" textlink="">
          <xdr:nvSpPr>
            <xdr:cNvPr id="5528" name="Check Box 1432" hidden="1">
              <a:extLst>
                <a:ext uri="{63B3BB69-23CF-44E3-9099-C40C66FF867C}">
                  <a14:compatExt spid="_x0000_s5528"/>
                </a:ext>
                <a:ext uri="{FF2B5EF4-FFF2-40B4-BE49-F238E27FC236}">
                  <a16:creationId xmlns:a16="http://schemas.microsoft.com/office/drawing/2014/main" id="{00000000-0008-0000-0000-00009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65</xdr:row>
          <xdr:rowOff>38100</xdr:rowOff>
        </xdr:from>
        <xdr:to>
          <xdr:col>13</xdr:col>
          <xdr:colOff>342900</xdr:colOff>
          <xdr:row>65</xdr:row>
          <xdr:rowOff>266700</xdr:rowOff>
        </xdr:to>
        <xdr:sp macro="" textlink="">
          <xdr:nvSpPr>
            <xdr:cNvPr id="5529" name="Check Box 1433" hidden="1">
              <a:extLst>
                <a:ext uri="{63B3BB69-23CF-44E3-9099-C40C66FF867C}">
                  <a14:compatExt spid="_x0000_s5529"/>
                </a:ext>
                <a:ext uri="{FF2B5EF4-FFF2-40B4-BE49-F238E27FC236}">
                  <a16:creationId xmlns:a16="http://schemas.microsoft.com/office/drawing/2014/main" id="{00000000-0008-0000-0000-00009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65</xdr:row>
          <xdr:rowOff>38100</xdr:rowOff>
        </xdr:from>
        <xdr:to>
          <xdr:col>14</xdr:col>
          <xdr:colOff>342900</xdr:colOff>
          <xdr:row>65</xdr:row>
          <xdr:rowOff>266700</xdr:rowOff>
        </xdr:to>
        <xdr:sp macro="" textlink="">
          <xdr:nvSpPr>
            <xdr:cNvPr id="5530" name="Check Box 1434" hidden="1">
              <a:extLst>
                <a:ext uri="{63B3BB69-23CF-44E3-9099-C40C66FF867C}">
                  <a14:compatExt spid="_x0000_s5530"/>
                </a:ext>
                <a:ext uri="{FF2B5EF4-FFF2-40B4-BE49-F238E27FC236}">
                  <a16:creationId xmlns:a16="http://schemas.microsoft.com/office/drawing/2014/main" id="{00000000-0008-0000-0000-00009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65</xdr:row>
          <xdr:rowOff>38100</xdr:rowOff>
        </xdr:from>
        <xdr:to>
          <xdr:col>15</xdr:col>
          <xdr:colOff>342900</xdr:colOff>
          <xdr:row>65</xdr:row>
          <xdr:rowOff>266700</xdr:rowOff>
        </xdr:to>
        <xdr:sp macro="" textlink="">
          <xdr:nvSpPr>
            <xdr:cNvPr id="5531" name="Check Box 1435" hidden="1">
              <a:extLst>
                <a:ext uri="{63B3BB69-23CF-44E3-9099-C40C66FF867C}">
                  <a14:compatExt spid="_x0000_s5531"/>
                </a:ext>
                <a:ext uri="{FF2B5EF4-FFF2-40B4-BE49-F238E27FC236}">
                  <a16:creationId xmlns:a16="http://schemas.microsoft.com/office/drawing/2014/main" id="{00000000-0008-0000-0000-00009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65</xdr:row>
          <xdr:rowOff>38100</xdr:rowOff>
        </xdr:from>
        <xdr:to>
          <xdr:col>16</xdr:col>
          <xdr:colOff>342900</xdr:colOff>
          <xdr:row>65</xdr:row>
          <xdr:rowOff>266700</xdr:rowOff>
        </xdr:to>
        <xdr:sp macro="" textlink="">
          <xdr:nvSpPr>
            <xdr:cNvPr id="5532" name="Check Box 1436" hidden="1">
              <a:extLst>
                <a:ext uri="{63B3BB69-23CF-44E3-9099-C40C66FF867C}">
                  <a14:compatExt spid="_x0000_s5532"/>
                </a:ext>
                <a:ext uri="{FF2B5EF4-FFF2-40B4-BE49-F238E27FC236}">
                  <a16:creationId xmlns:a16="http://schemas.microsoft.com/office/drawing/2014/main" id="{00000000-0008-0000-0000-00009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65</xdr:row>
          <xdr:rowOff>38100</xdr:rowOff>
        </xdr:from>
        <xdr:to>
          <xdr:col>17</xdr:col>
          <xdr:colOff>342900</xdr:colOff>
          <xdr:row>65</xdr:row>
          <xdr:rowOff>266700</xdr:rowOff>
        </xdr:to>
        <xdr:sp macro="" textlink="">
          <xdr:nvSpPr>
            <xdr:cNvPr id="5533" name="Check Box 1437" hidden="1">
              <a:extLst>
                <a:ext uri="{63B3BB69-23CF-44E3-9099-C40C66FF867C}">
                  <a14:compatExt spid="_x0000_s5533"/>
                </a:ext>
                <a:ext uri="{FF2B5EF4-FFF2-40B4-BE49-F238E27FC236}">
                  <a16:creationId xmlns:a16="http://schemas.microsoft.com/office/drawing/2014/main" id="{00000000-0008-0000-0000-00009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65</xdr:row>
          <xdr:rowOff>38100</xdr:rowOff>
        </xdr:from>
        <xdr:to>
          <xdr:col>18</xdr:col>
          <xdr:colOff>342900</xdr:colOff>
          <xdr:row>65</xdr:row>
          <xdr:rowOff>266700</xdr:rowOff>
        </xdr:to>
        <xdr:sp macro="" textlink="">
          <xdr:nvSpPr>
            <xdr:cNvPr id="5534" name="Check Box 1438" hidden="1">
              <a:extLst>
                <a:ext uri="{63B3BB69-23CF-44E3-9099-C40C66FF867C}">
                  <a14:compatExt spid="_x0000_s5534"/>
                </a:ext>
                <a:ext uri="{FF2B5EF4-FFF2-40B4-BE49-F238E27FC236}">
                  <a16:creationId xmlns:a16="http://schemas.microsoft.com/office/drawing/2014/main" id="{00000000-0008-0000-0000-00009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65</xdr:row>
          <xdr:rowOff>38100</xdr:rowOff>
        </xdr:from>
        <xdr:to>
          <xdr:col>19</xdr:col>
          <xdr:colOff>342900</xdr:colOff>
          <xdr:row>65</xdr:row>
          <xdr:rowOff>266700</xdr:rowOff>
        </xdr:to>
        <xdr:sp macro="" textlink="">
          <xdr:nvSpPr>
            <xdr:cNvPr id="5535" name="Check Box 1439" hidden="1">
              <a:extLst>
                <a:ext uri="{63B3BB69-23CF-44E3-9099-C40C66FF867C}">
                  <a14:compatExt spid="_x0000_s5535"/>
                </a:ext>
                <a:ext uri="{FF2B5EF4-FFF2-40B4-BE49-F238E27FC236}">
                  <a16:creationId xmlns:a16="http://schemas.microsoft.com/office/drawing/2014/main" id="{00000000-0008-0000-0000-00009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65</xdr:row>
          <xdr:rowOff>38100</xdr:rowOff>
        </xdr:from>
        <xdr:to>
          <xdr:col>20</xdr:col>
          <xdr:colOff>342900</xdr:colOff>
          <xdr:row>65</xdr:row>
          <xdr:rowOff>266700</xdr:rowOff>
        </xdr:to>
        <xdr:sp macro="" textlink="">
          <xdr:nvSpPr>
            <xdr:cNvPr id="5536" name="Check Box 1440" hidden="1">
              <a:extLst>
                <a:ext uri="{63B3BB69-23CF-44E3-9099-C40C66FF867C}">
                  <a14:compatExt spid="_x0000_s5536"/>
                </a:ext>
                <a:ext uri="{FF2B5EF4-FFF2-40B4-BE49-F238E27FC236}">
                  <a16:creationId xmlns:a16="http://schemas.microsoft.com/office/drawing/2014/main" id="{00000000-0008-0000-0000-0000A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65</xdr:row>
          <xdr:rowOff>38100</xdr:rowOff>
        </xdr:from>
        <xdr:to>
          <xdr:col>21</xdr:col>
          <xdr:colOff>342900</xdr:colOff>
          <xdr:row>65</xdr:row>
          <xdr:rowOff>266700</xdr:rowOff>
        </xdr:to>
        <xdr:sp macro="" textlink="">
          <xdr:nvSpPr>
            <xdr:cNvPr id="5537" name="Check Box 1441" hidden="1">
              <a:extLst>
                <a:ext uri="{63B3BB69-23CF-44E3-9099-C40C66FF867C}">
                  <a14:compatExt spid="_x0000_s5537"/>
                </a:ext>
                <a:ext uri="{FF2B5EF4-FFF2-40B4-BE49-F238E27FC236}">
                  <a16:creationId xmlns:a16="http://schemas.microsoft.com/office/drawing/2014/main" id="{00000000-0008-0000-0000-0000A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65</xdr:row>
          <xdr:rowOff>38100</xdr:rowOff>
        </xdr:from>
        <xdr:to>
          <xdr:col>22</xdr:col>
          <xdr:colOff>342900</xdr:colOff>
          <xdr:row>65</xdr:row>
          <xdr:rowOff>266700</xdr:rowOff>
        </xdr:to>
        <xdr:sp macro="" textlink="">
          <xdr:nvSpPr>
            <xdr:cNvPr id="5538" name="Check Box 1442" hidden="1">
              <a:extLst>
                <a:ext uri="{63B3BB69-23CF-44E3-9099-C40C66FF867C}">
                  <a14:compatExt spid="_x0000_s5538"/>
                </a:ext>
                <a:ext uri="{FF2B5EF4-FFF2-40B4-BE49-F238E27FC236}">
                  <a16:creationId xmlns:a16="http://schemas.microsoft.com/office/drawing/2014/main" id="{00000000-0008-0000-0000-0000A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65</xdr:row>
          <xdr:rowOff>38100</xdr:rowOff>
        </xdr:from>
        <xdr:to>
          <xdr:col>23</xdr:col>
          <xdr:colOff>342900</xdr:colOff>
          <xdr:row>65</xdr:row>
          <xdr:rowOff>266700</xdr:rowOff>
        </xdr:to>
        <xdr:sp macro="" textlink="">
          <xdr:nvSpPr>
            <xdr:cNvPr id="5539" name="Check Box 1443" hidden="1">
              <a:extLst>
                <a:ext uri="{63B3BB69-23CF-44E3-9099-C40C66FF867C}">
                  <a14:compatExt spid="_x0000_s5539"/>
                </a:ext>
                <a:ext uri="{FF2B5EF4-FFF2-40B4-BE49-F238E27FC236}">
                  <a16:creationId xmlns:a16="http://schemas.microsoft.com/office/drawing/2014/main" id="{00000000-0008-0000-0000-0000A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65</xdr:row>
          <xdr:rowOff>38100</xdr:rowOff>
        </xdr:from>
        <xdr:to>
          <xdr:col>24</xdr:col>
          <xdr:colOff>342900</xdr:colOff>
          <xdr:row>65</xdr:row>
          <xdr:rowOff>266700</xdr:rowOff>
        </xdr:to>
        <xdr:sp macro="" textlink="">
          <xdr:nvSpPr>
            <xdr:cNvPr id="5540" name="Check Box 1444" hidden="1">
              <a:extLst>
                <a:ext uri="{63B3BB69-23CF-44E3-9099-C40C66FF867C}">
                  <a14:compatExt spid="_x0000_s5540"/>
                </a:ext>
                <a:ext uri="{FF2B5EF4-FFF2-40B4-BE49-F238E27FC236}">
                  <a16:creationId xmlns:a16="http://schemas.microsoft.com/office/drawing/2014/main" id="{00000000-0008-0000-0000-0000A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65</xdr:row>
          <xdr:rowOff>38100</xdr:rowOff>
        </xdr:from>
        <xdr:to>
          <xdr:col>25</xdr:col>
          <xdr:colOff>342900</xdr:colOff>
          <xdr:row>65</xdr:row>
          <xdr:rowOff>266700</xdr:rowOff>
        </xdr:to>
        <xdr:sp macro="" textlink="">
          <xdr:nvSpPr>
            <xdr:cNvPr id="5541" name="Check Box 1445" hidden="1">
              <a:extLst>
                <a:ext uri="{63B3BB69-23CF-44E3-9099-C40C66FF867C}">
                  <a14:compatExt spid="_x0000_s5541"/>
                </a:ext>
                <a:ext uri="{FF2B5EF4-FFF2-40B4-BE49-F238E27FC236}">
                  <a16:creationId xmlns:a16="http://schemas.microsoft.com/office/drawing/2014/main" id="{00000000-0008-0000-0000-0000A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65</xdr:row>
          <xdr:rowOff>38100</xdr:rowOff>
        </xdr:from>
        <xdr:to>
          <xdr:col>26</xdr:col>
          <xdr:colOff>342900</xdr:colOff>
          <xdr:row>65</xdr:row>
          <xdr:rowOff>266700</xdr:rowOff>
        </xdr:to>
        <xdr:sp macro="" textlink="">
          <xdr:nvSpPr>
            <xdr:cNvPr id="5542" name="Check Box 1446" hidden="1">
              <a:extLst>
                <a:ext uri="{63B3BB69-23CF-44E3-9099-C40C66FF867C}">
                  <a14:compatExt spid="_x0000_s5542"/>
                </a:ext>
                <a:ext uri="{FF2B5EF4-FFF2-40B4-BE49-F238E27FC236}">
                  <a16:creationId xmlns:a16="http://schemas.microsoft.com/office/drawing/2014/main" id="{00000000-0008-0000-0000-0000A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65</xdr:row>
          <xdr:rowOff>38100</xdr:rowOff>
        </xdr:from>
        <xdr:to>
          <xdr:col>27</xdr:col>
          <xdr:colOff>342900</xdr:colOff>
          <xdr:row>65</xdr:row>
          <xdr:rowOff>266700</xdr:rowOff>
        </xdr:to>
        <xdr:sp macro="" textlink="">
          <xdr:nvSpPr>
            <xdr:cNvPr id="5543" name="Check Box 1447" hidden="1">
              <a:extLst>
                <a:ext uri="{63B3BB69-23CF-44E3-9099-C40C66FF867C}">
                  <a14:compatExt spid="_x0000_s5543"/>
                </a:ext>
                <a:ext uri="{FF2B5EF4-FFF2-40B4-BE49-F238E27FC236}">
                  <a16:creationId xmlns:a16="http://schemas.microsoft.com/office/drawing/2014/main" id="{00000000-0008-0000-0000-0000A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65</xdr:row>
          <xdr:rowOff>38100</xdr:rowOff>
        </xdr:from>
        <xdr:to>
          <xdr:col>28</xdr:col>
          <xdr:colOff>342900</xdr:colOff>
          <xdr:row>65</xdr:row>
          <xdr:rowOff>266700</xdr:rowOff>
        </xdr:to>
        <xdr:sp macro="" textlink="">
          <xdr:nvSpPr>
            <xdr:cNvPr id="5544" name="Check Box 1448" hidden="1">
              <a:extLst>
                <a:ext uri="{63B3BB69-23CF-44E3-9099-C40C66FF867C}">
                  <a14:compatExt spid="_x0000_s5544"/>
                </a:ext>
                <a:ext uri="{FF2B5EF4-FFF2-40B4-BE49-F238E27FC236}">
                  <a16:creationId xmlns:a16="http://schemas.microsoft.com/office/drawing/2014/main" id="{00000000-0008-0000-0000-0000A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65</xdr:row>
          <xdr:rowOff>38100</xdr:rowOff>
        </xdr:from>
        <xdr:to>
          <xdr:col>29</xdr:col>
          <xdr:colOff>342900</xdr:colOff>
          <xdr:row>65</xdr:row>
          <xdr:rowOff>266700</xdr:rowOff>
        </xdr:to>
        <xdr:sp macro="" textlink="">
          <xdr:nvSpPr>
            <xdr:cNvPr id="5545" name="Check Box 1449" hidden="1">
              <a:extLst>
                <a:ext uri="{63B3BB69-23CF-44E3-9099-C40C66FF867C}">
                  <a14:compatExt spid="_x0000_s5545"/>
                </a:ext>
                <a:ext uri="{FF2B5EF4-FFF2-40B4-BE49-F238E27FC236}">
                  <a16:creationId xmlns:a16="http://schemas.microsoft.com/office/drawing/2014/main" id="{00000000-0008-0000-0000-0000A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65</xdr:row>
          <xdr:rowOff>38100</xdr:rowOff>
        </xdr:from>
        <xdr:to>
          <xdr:col>30</xdr:col>
          <xdr:colOff>342900</xdr:colOff>
          <xdr:row>65</xdr:row>
          <xdr:rowOff>266700</xdr:rowOff>
        </xdr:to>
        <xdr:sp macro="" textlink="">
          <xdr:nvSpPr>
            <xdr:cNvPr id="5546" name="Check Box 1450" hidden="1">
              <a:extLst>
                <a:ext uri="{63B3BB69-23CF-44E3-9099-C40C66FF867C}">
                  <a14:compatExt spid="_x0000_s5546"/>
                </a:ext>
                <a:ext uri="{FF2B5EF4-FFF2-40B4-BE49-F238E27FC236}">
                  <a16:creationId xmlns:a16="http://schemas.microsoft.com/office/drawing/2014/main" id="{00000000-0008-0000-0000-0000A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65</xdr:row>
          <xdr:rowOff>38100</xdr:rowOff>
        </xdr:from>
        <xdr:to>
          <xdr:col>31</xdr:col>
          <xdr:colOff>342900</xdr:colOff>
          <xdr:row>65</xdr:row>
          <xdr:rowOff>266700</xdr:rowOff>
        </xdr:to>
        <xdr:sp macro="" textlink="">
          <xdr:nvSpPr>
            <xdr:cNvPr id="5547" name="Check Box 1451" hidden="1">
              <a:extLst>
                <a:ext uri="{63B3BB69-23CF-44E3-9099-C40C66FF867C}">
                  <a14:compatExt spid="_x0000_s5547"/>
                </a:ext>
                <a:ext uri="{FF2B5EF4-FFF2-40B4-BE49-F238E27FC236}">
                  <a16:creationId xmlns:a16="http://schemas.microsoft.com/office/drawing/2014/main" id="{00000000-0008-0000-0000-0000A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65</xdr:row>
          <xdr:rowOff>38100</xdr:rowOff>
        </xdr:from>
        <xdr:to>
          <xdr:col>32</xdr:col>
          <xdr:colOff>342900</xdr:colOff>
          <xdr:row>65</xdr:row>
          <xdr:rowOff>266700</xdr:rowOff>
        </xdr:to>
        <xdr:sp macro="" textlink="">
          <xdr:nvSpPr>
            <xdr:cNvPr id="5548" name="Check Box 1452" hidden="1">
              <a:extLst>
                <a:ext uri="{63B3BB69-23CF-44E3-9099-C40C66FF867C}">
                  <a14:compatExt spid="_x0000_s5548"/>
                </a:ext>
                <a:ext uri="{FF2B5EF4-FFF2-40B4-BE49-F238E27FC236}">
                  <a16:creationId xmlns:a16="http://schemas.microsoft.com/office/drawing/2014/main" id="{00000000-0008-0000-0000-0000A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65</xdr:row>
          <xdr:rowOff>38100</xdr:rowOff>
        </xdr:from>
        <xdr:to>
          <xdr:col>33</xdr:col>
          <xdr:colOff>342900</xdr:colOff>
          <xdr:row>65</xdr:row>
          <xdr:rowOff>266700</xdr:rowOff>
        </xdr:to>
        <xdr:sp macro="" textlink="">
          <xdr:nvSpPr>
            <xdr:cNvPr id="5549" name="Check Box 1453" hidden="1">
              <a:extLst>
                <a:ext uri="{63B3BB69-23CF-44E3-9099-C40C66FF867C}">
                  <a14:compatExt spid="_x0000_s5549"/>
                </a:ext>
                <a:ext uri="{FF2B5EF4-FFF2-40B4-BE49-F238E27FC236}">
                  <a16:creationId xmlns:a16="http://schemas.microsoft.com/office/drawing/2014/main" id="{00000000-0008-0000-0000-0000A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65</xdr:row>
          <xdr:rowOff>38100</xdr:rowOff>
        </xdr:from>
        <xdr:to>
          <xdr:col>34</xdr:col>
          <xdr:colOff>342900</xdr:colOff>
          <xdr:row>65</xdr:row>
          <xdr:rowOff>266700</xdr:rowOff>
        </xdr:to>
        <xdr:sp macro="" textlink="">
          <xdr:nvSpPr>
            <xdr:cNvPr id="5550" name="Check Box 1454" hidden="1">
              <a:extLst>
                <a:ext uri="{63B3BB69-23CF-44E3-9099-C40C66FF867C}">
                  <a14:compatExt spid="_x0000_s5550"/>
                </a:ext>
                <a:ext uri="{FF2B5EF4-FFF2-40B4-BE49-F238E27FC236}">
                  <a16:creationId xmlns:a16="http://schemas.microsoft.com/office/drawing/2014/main" id="{00000000-0008-0000-0000-0000A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65</xdr:row>
          <xdr:rowOff>38100</xdr:rowOff>
        </xdr:from>
        <xdr:to>
          <xdr:col>35</xdr:col>
          <xdr:colOff>342900</xdr:colOff>
          <xdr:row>65</xdr:row>
          <xdr:rowOff>266700</xdr:rowOff>
        </xdr:to>
        <xdr:sp macro="" textlink="">
          <xdr:nvSpPr>
            <xdr:cNvPr id="5551" name="Check Box 1455" hidden="1">
              <a:extLst>
                <a:ext uri="{63B3BB69-23CF-44E3-9099-C40C66FF867C}">
                  <a14:compatExt spid="_x0000_s5551"/>
                </a:ext>
                <a:ext uri="{FF2B5EF4-FFF2-40B4-BE49-F238E27FC236}">
                  <a16:creationId xmlns:a16="http://schemas.microsoft.com/office/drawing/2014/main" id="{00000000-0008-0000-0000-0000A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65</xdr:row>
          <xdr:rowOff>38100</xdr:rowOff>
        </xdr:from>
        <xdr:to>
          <xdr:col>36</xdr:col>
          <xdr:colOff>342900</xdr:colOff>
          <xdr:row>65</xdr:row>
          <xdr:rowOff>266700</xdr:rowOff>
        </xdr:to>
        <xdr:sp macro="" textlink="">
          <xdr:nvSpPr>
            <xdr:cNvPr id="5552" name="Check Box 1456" hidden="1">
              <a:extLst>
                <a:ext uri="{63B3BB69-23CF-44E3-9099-C40C66FF867C}">
                  <a14:compatExt spid="_x0000_s5552"/>
                </a:ext>
                <a:ext uri="{FF2B5EF4-FFF2-40B4-BE49-F238E27FC236}">
                  <a16:creationId xmlns:a16="http://schemas.microsoft.com/office/drawing/2014/main" id="{00000000-0008-0000-0000-0000B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65</xdr:row>
          <xdr:rowOff>38100</xdr:rowOff>
        </xdr:from>
        <xdr:to>
          <xdr:col>37</xdr:col>
          <xdr:colOff>342900</xdr:colOff>
          <xdr:row>65</xdr:row>
          <xdr:rowOff>266700</xdr:rowOff>
        </xdr:to>
        <xdr:sp macro="" textlink="">
          <xdr:nvSpPr>
            <xdr:cNvPr id="5553" name="Check Box 1457" hidden="1">
              <a:extLst>
                <a:ext uri="{63B3BB69-23CF-44E3-9099-C40C66FF867C}">
                  <a14:compatExt spid="_x0000_s5553"/>
                </a:ext>
                <a:ext uri="{FF2B5EF4-FFF2-40B4-BE49-F238E27FC236}">
                  <a16:creationId xmlns:a16="http://schemas.microsoft.com/office/drawing/2014/main" id="{00000000-0008-0000-0000-0000B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66</xdr:row>
          <xdr:rowOff>38100</xdr:rowOff>
        </xdr:from>
        <xdr:to>
          <xdr:col>7</xdr:col>
          <xdr:colOff>342900</xdr:colOff>
          <xdr:row>66</xdr:row>
          <xdr:rowOff>266700</xdr:rowOff>
        </xdr:to>
        <xdr:sp macro="" textlink="">
          <xdr:nvSpPr>
            <xdr:cNvPr id="5554" name="Check Box 1458" hidden="1">
              <a:extLst>
                <a:ext uri="{63B3BB69-23CF-44E3-9099-C40C66FF867C}">
                  <a14:compatExt spid="_x0000_s5554"/>
                </a:ext>
                <a:ext uri="{FF2B5EF4-FFF2-40B4-BE49-F238E27FC236}">
                  <a16:creationId xmlns:a16="http://schemas.microsoft.com/office/drawing/2014/main" id="{00000000-0008-0000-0000-0000B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66</xdr:row>
          <xdr:rowOff>38100</xdr:rowOff>
        </xdr:from>
        <xdr:to>
          <xdr:col>8</xdr:col>
          <xdr:colOff>342900</xdr:colOff>
          <xdr:row>66</xdr:row>
          <xdr:rowOff>266700</xdr:rowOff>
        </xdr:to>
        <xdr:sp macro="" textlink="">
          <xdr:nvSpPr>
            <xdr:cNvPr id="5555" name="Check Box 1459" hidden="1">
              <a:extLst>
                <a:ext uri="{63B3BB69-23CF-44E3-9099-C40C66FF867C}">
                  <a14:compatExt spid="_x0000_s5555"/>
                </a:ext>
                <a:ext uri="{FF2B5EF4-FFF2-40B4-BE49-F238E27FC236}">
                  <a16:creationId xmlns:a16="http://schemas.microsoft.com/office/drawing/2014/main" id="{00000000-0008-0000-0000-0000B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66</xdr:row>
          <xdr:rowOff>38100</xdr:rowOff>
        </xdr:from>
        <xdr:to>
          <xdr:col>9</xdr:col>
          <xdr:colOff>342900</xdr:colOff>
          <xdr:row>66</xdr:row>
          <xdr:rowOff>266700</xdr:rowOff>
        </xdr:to>
        <xdr:sp macro="" textlink="">
          <xdr:nvSpPr>
            <xdr:cNvPr id="5556" name="Check Box 1460" hidden="1">
              <a:extLst>
                <a:ext uri="{63B3BB69-23CF-44E3-9099-C40C66FF867C}">
                  <a14:compatExt spid="_x0000_s5556"/>
                </a:ext>
                <a:ext uri="{FF2B5EF4-FFF2-40B4-BE49-F238E27FC236}">
                  <a16:creationId xmlns:a16="http://schemas.microsoft.com/office/drawing/2014/main" id="{00000000-0008-0000-0000-0000B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66</xdr:row>
          <xdr:rowOff>38100</xdr:rowOff>
        </xdr:from>
        <xdr:to>
          <xdr:col>10</xdr:col>
          <xdr:colOff>342900</xdr:colOff>
          <xdr:row>66</xdr:row>
          <xdr:rowOff>266700</xdr:rowOff>
        </xdr:to>
        <xdr:sp macro="" textlink="">
          <xdr:nvSpPr>
            <xdr:cNvPr id="5557" name="Check Box 1461" hidden="1">
              <a:extLst>
                <a:ext uri="{63B3BB69-23CF-44E3-9099-C40C66FF867C}">
                  <a14:compatExt spid="_x0000_s5557"/>
                </a:ext>
                <a:ext uri="{FF2B5EF4-FFF2-40B4-BE49-F238E27FC236}">
                  <a16:creationId xmlns:a16="http://schemas.microsoft.com/office/drawing/2014/main" id="{00000000-0008-0000-0000-0000B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66</xdr:row>
          <xdr:rowOff>38100</xdr:rowOff>
        </xdr:from>
        <xdr:to>
          <xdr:col>11</xdr:col>
          <xdr:colOff>342900</xdr:colOff>
          <xdr:row>66</xdr:row>
          <xdr:rowOff>266700</xdr:rowOff>
        </xdr:to>
        <xdr:sp macro="" textlink="">
          <xdr:nvSpPr>
            <xdr:cNvPr id="5558" name="Check Box 1462" hidden="1">
              <a:extLst>
                <a:ext uri="{63B3BB69-23CF-44E3-9099-C40C66FF867C}">
                  <a14:compatExt spid="_x0000_s5558"/>
                </a:ext>
                <a:ext uri="{FF2B5EF4-FFF2-40B4-BE49-F238E27FC236}">
                  <a16:creationId xmlns:a16="http://schemas.microsoft.com/office/drawing/2014/main" id="{00000000-0008-0000-0000-0000B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66</xdr:row>
          <xdr:rowOff>38100</xdr:rowOff>
        </xdr:from>
        <xdr:to>
          <xdr:col>12</xdr:col>
          <xdr:colOff>342900</xdr:colOff>
          <xdr:row>66</xdr:row>
          <xdr:rowOff>266700</xdr:rowOff>
        </xdr:to>
        <xdr:sp macro="" textlink="">
          <xdr:nvSpPr>
            <xdr:cNvPr id="5559" name="Check Box 1463" hidden="1">
              <a:extLst>
                <a:ext uri="{63B3BB69-23CF-44E3-9099-C40C66FF867C}">
                  <a14:compatExt spid="_x0000_s5559"/>
                </a:ext>
                <a:ext uri="{FF2B5EF4-FFF2-40B4-BE49-F238E27FC236}">
                  <a16:creationId xmlns:a16="http://schemas.microsoft.com/office/drawing/2014/main" id="{00000000-0008-0000-0000-0000B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66</xdr:row>
          <xdr:rowOff>38100</xdr:rowOff>
        </xdr:from>
        <xdr:to>
          <xdr:col>13</xdr:col>
          <xdr:colOff>342900</xdr:colOff>
          <xdr:row>66</xdr:row>
          <xdr:rowOff>266700</xdr:rowOff>
        </xdr:to>
        <xdr:sp macro="" textlink="">
          <xdr:nvSpPr>
            <xdr:cNvPr id="5560" name="Check Box 1464" hidden="1">
              <a:extLst>
                <a:ext uri="{63B3BB69-23CF-44E3-9099-C40C66FF867C}">
                  <a14:compatExt spid="_x0000_s5560"/>
                </a:ext>
                <a:ext uri="{FF2B5EF4-FFF2-40B4-BE49-F238E27FC236}">
                  <a16:creationId xmlns:a16="http://schemas.microsoft.com/office/drawing/2014/main" id="{00000000-0008-0000-0000-0000B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66</xdr:row>
          <xdr:rowOff>38100</xdr:rowOff>
        </xdr:from>
        <xdr:to>
          <xdr:col>14</xdr:col>
          <xdr:colOff>342900</xdr:colOff>
          <xdr:row>66</xdr:row>
          <xdr:rowOff>266700</xdr:rowOff>
        </xdr:to>
        <xdr:sp macro="" textlink="">
          <xdr:nvSpPr>
            <xdr:cNvPr id="5561" name="Check Box 1465" hidden="1">
              <a:extLst>
                <a:ext uri="{63B3BB69-23CF-44E3-9099-C40C66FF867C}">
                  <a14:compatExt spid="_x0000_s5561"/>
                </a:ext>
                <a:ext uri="{FF2B5EF4-FFF2-40B4-BE49-F238E27FC236}">
                  <a16:creationId xmlns:a16="http://schemas.microsoft.com/office/drawing/2014/main" id="{00000000-0008-0000-0000-0000B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66</xdr:row>
          <xdr:rowOff>38100</xdr:rowOff>
        </xdr:from>
        <xdr:to>
          <xdr:col>15</xdr:col>
          <xdr:colOff>342900</xdr:colOff>
          <xdr:row>66</xdr:row>
          <xdr:rowOff>266700</xdr:rowOff>
        </xdr:to>
        <xdr:sp macro="" textlink="">
          <xdr:nvSpPr>
            <xdr:cNvPr id="5562" name="Check Box 1466" hidden="1">
              <a:extLst>
                <a:ext uri="{63B3BB69-23CF-44E3-9099-C40C66FF867C}">
                  <a14:compatExt spid="_x0000_s5562"/>
                </a:ext>
                <a:ext uri="{FF2B5EF4-FFF2-40B4-BE49-F238E27FC236}">
                  <a16:creationId xmlns:a16="http://schemas.microsoft.com/office/drawing/2014/main" id="{00000000-0008-0000-0000-0000B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66</xdr:row>
          <xdr:rowOff>38100</xdr:rowOff>
        </xdr:from>
        <xdr:to>
          <xdr:col>16</xdr:col>
          <xdr:colOff>342900</xdr:colOff>
          <xdr:row>66</xdr:row>
          <xdr:rowOff>266700</xdr:rowOff>
        </xdr:to>
        <xdr:sp macro="" textlink="">
          <xdr:nvSpPr>
            <xdr:cNvPr id="5563" name="Check Box 1467" hidden="1">
              <a:extLst>
                <a:ext uri="{63B3BB69-23CF-44E3-9099-C40C66FF867C}">
                  <a14:compatExt spid="_x0000_s5563"/>
                </a:ext>
                <a:ext uri="{FF2B5EF4-FFF2-40B4-BE49-F238E27FC236}">
                  <a16:creationId xmlns:a16="http://schemas.microsoft.com/office/drawing/2014/main" id="{00000000-0008-0000-0000-0000B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66</xdr:row>
          <xdr:rowOff>38100</xdr:rowOff>
        </xdr:from>
        <xdr:to>
          <xdr:col>17</xdr:col>
          <xdr:colOff>342900</xdr:colOff>
          <xdr:row>66</xdr:row>
          <xdr:rowOff>266700</xdr:rowOff>
        </xdr:to>
        <xdr:sp macro="" textlink="">
          <xdr:nvSpPr>
            <xdr:cNvPr id="5564" name="Check Box 1468" hidden="1">
              <a:extLst>
                <a:ext uri="{63B3BB69-23CF-44E3-9099-C40C66FF867C}">
                  <a14:compatExt spid="_x0000_s5564"/>
                </a:ext>
                <a:ext uri="{FF2B5EF4-FFF2-40B4-BE49-F238E27FC236}">
                  <a16:creationId xmlns:a16="http://schemas.microsoft.com/office/drawing/2014/main" id="{00000000-0008-0000-0000-0000B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66</xdr:row>
          <xdr:rowOff>38100</xdr:rowOff>
        </xdr:from>
        <xdr:to>
          <xdr:col>18</xdr:col>
          <xdr:colOff>342900</xdr:colOff>
          <xdr:row>66</xdr:row>
          <xdr:rowOff>266700</xdr:rowOff>
        </xdr:to>
        <xdr:sp macro="" textlink="">
          <xdr:nvSpPr>
            <xdr:cNvPr id="5565" name="Check Box 1469" hidden="1">
              <a:extLst>
                <a:ext uri="{63B3BB69-23CF-44E3-9099-C40C66FF867C}">
                  <a14:compatExt spid="_x0000_s5565"/>
                </a:ext>
                <a:ext uri="{FF2B5EF4-FFF2-40B4-BE49-F238E27FC236}">
                  <a16:creationId xmlns:a16="http://schemas.microsoft.com/office/drawing/2014/main" id="{00000000-0008-0000-0000-0000B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66</xdr:row>
          <xdr:rowOff>38100</xdr:rowOff>
        </xdr:from>
        <xdr:to>
          <xdr:col>19</xdr:col>
          <xdr:colOff>342900</xdr:colOff>
          <xdr:row>66</xdr:row>
          <xdr:rowOff>266700</xdr:rowOff>
        </xdr:to>
        <xdr:sp macro="" textlink="">
          <xdr:nvSpPr>
            <xdr:cNvPr id="5566" name="Check Box 1470" hidden="1">
              <a:extLst>
                <a:ext uri="{63B3BB69-23CF-44E3-9099-C40C66FF867C}">
                  <a14:compatExt spid="_x0000_s5566"/>
                </a:ext>
                <a:ext uri="{FF2B5EF4-FFF2-40B4-BE49-F238E27FC236}">
                  <a16:creationId xmlns:a16="http://schemas.microsoft.com/office/drawing/2014/main" id="{00000000-0008-0000-0000-0000B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66</xdr:row>
          <xdr:rowOff>38100</xdr:rowOff>
        </xdr:from>
        <xdr:to>
          <xdr:col>20</xdr:col>
          <xdr:colOff>342900</xdr:colOff>
          <xdr:row>66</xdr:row>
          <xdr:rowOff>266700</xdr:rowOff>
        </xdr:to>
        <xdr:sp macro="" textlink="">
          <xdr:nvSpPr>
            <xdr:cNvPr id="5567" name="Check Box 1471" hidden="1">
              <a:extLst>
                <a:ext uri="{63B3BB69-23CF-44E3-9099-C40C66FF867C}">
                  <a14:compatExt spid="_x0000_s5567"/>
                </a:ext>
                <a:ext uri="{FF2B5EF4-FFF2-40B4-BE49-F238E27FC236}">
                  <a16:creationId xmlns:a16="http://schemas.microsoft.com/office/drawing/2014/main" id="{00000000-0008-0000-0000-0000B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66</xdr:row>
          <xdr:rowOff>38100</xdr:rowOff>
        </xdr:from>
        <xdr:to>
          <xdr:col>21</xdr:col>
          <xdr:colOff>342900</xdr:colOff>
          <xdr:row>66</xdr:row>
          <xdr:rowOff>266700</xdr:rowOff>
        </xdr:to>
        <xdr:sp macro="" textlink="">
          <xdr:nvSpPr>
            <xdr:cNvPr id="5568" name="Check Box 1472" hidden="1">
              <a:extLst>
                <a:ext uri="{63B3BB69-23CF-44E3-9099-C40C66FF867C}">
                  <a14:compatExt spid="_x0000_s5568"/>
                </a:ext>
                <a:ext uri="{FF2B5EF4-FFF2-40B4-BE49-F238E27FC236}">
                  <a16:creationId xmlns:a16="http://schemas.microsoft.com/office/drawing/2014/main" id="{00000000-0008-0000-0000-0000C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66</xdr:row>
          <xdr:rowOff>38100</xdr:rowOff>
        </xdr:from>
        <xdr:to>
          <xdr:col>22</xdr:col>
          <xdr:colOff>342900</xdr:colOff>
          <xdr:row>66</xdr:row>
          <xdr:rowOff>266700</xdr:rowOff>
        </xdr:to>
        <xdr:sp macro="" textlink="">
          <xdr:nvSpPr>
            <xdr:cNvPr id="5569" name="Check Box 1473" hidden="1">
              <a:extLst>
                <a:ext uri="{63B3BB69-23CF-44E3-9099-C40C66FF867C}">
                  <a14:compatExt spid="_x0000_s5569"/>
                </a:ext>
                <a:ext uri="{FF2B5EF4-FFF2-40B4-BE49-F238E27FC236}">
                  <a16:creationId xmlns:a16="http://schemas.microsoft.com/office/drawing/2014/main" id="{00000000-0008-0000-0000-0000C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66</xdr:row>
          <xdr:rowOff>38100</xdr:rowOff>
        </xdr:from>
        <xdr:to>
          <xdr:col>23</xdr:col>
          <xdr:colOff>342900</xdr:colOff>
          <xdr:row>66</xdr:row>
          <xdr:rowOff>266700</xdr:rowOff>
        </xdr:to>
        <xdr:sp macro="" textlink="">
          <xdr:nvSpPr>
            <xdr:cNvPr id="5570" name="Check Box 1474" hidden="1">
              <a:extLst>
                <a:ext uri="{63B3BB69-23CF-44E3-9099-C40C66FF867C}">
                  <a14:compatExt spid="_x0000_s5570"/>
                </a:ext>
                <a:ext uri="{FF2B5EF4-FFF2-40B4-BE49-F238E27FC236}">
                  <a16:creationId xmlns:a16="http://schemas.microsoft.com/office/drawing/2014/main" id="{00000000-0008-0000-0000-0000C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66</xdr:row>
          <xdr:rowOff>38100</xdr:rowOff>
        </xdr:from>
        <xdr:to>
          <xdr:col>24</xdr:col>
          <xdr:colOff>342900</xdr:colOff>
          <xdr:row>66</xdr:row>
          <xdr:rowOff>266700</xdr:rowOff>
        </xdr:to>
        <xdr:sp macro="" textlink="">
          <xdr:nvSpPr>
            <xdr:cNvPr id="5571" name="Check Box 1475" hidden="1">
              <a:extLst>
                <a:ext uri="{63B3BB69-23CF-44E3-9099-C40C66FF867C}">
                  <a14:compatExt spid="_x0000_s5571"/>
                </a:ext>
                <a:ext uri="{FF2B5EF4-FFF2-40B4-BE49-F238E27FC236}">
                  <a16:creationId xmlns:a16="http://schemas.microsoft.com/office/drawing/2014/main" id="{00000000-0008-0000-0000-0000C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66</xdr:row>
          <xdr:rowOff>38100</xdr:rowOff>
        </xdr:from>
        <xdr:to>
          <xdr:col>25</xdr:col>
          <xdr:colOff>342900</xdr:colOff>
          <xdr:row>66</xdr:row>
          <xdr:rowOff>266700</xdr:rowOff>
        </xdr:to>
        <xdr:sp macro="" textlink="">
          <xdr:nvSpPr>
            <xdr:cNvPr id="5572" name="Check Box 1476" hidden="1">
              <a:extLst>
                <a:ext uri="{63B3BB69-23CF-44E3-9099-C40C66FF867C}">
                  <a14:compatExt spid="_x0000_s5572"/>
                </a:ext>
                <a:ext uri="{FF2B5EF4-FFF2-40B4-BE49-F238E27FC236}">
                  <a16:creationId xmlns:a16="http://schemas.microsoft.com/office/drawing/2014/main" id="{00000000-0008-0000-0000-0000C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66</xdr:row>
          <xdr:rowOff>38100</xdr:rowOff>
        </xdr:from>
        <xdr:to>
          <xdr:col>26</xdr:col>
          <xdr:colOff>342900</xdr:colOff>
          <xdr:row>66</xdr:row>
          <xdr:rowOff>266700</xdr:rowOff>
        </xdr:to>
        <xdr:sp macro="" textlink="">
          <xdr:nvSpPr>
            <xdr:cNvPr id="5573" name="Check Box 1477" hidden="1">
              <a:extLst>
                <a:ext uri="{63B3BB69-23CF-44E3-9099-C40C66FF867C}">
                  <a14:compatExt spid="_x0000_s5573"/>
                </a:ext>
                <a:ext uri="{FF2B5EF4-FFF2-40B4-BE49-F238E27FC236}">
                  <a16:creationId xmlns:a16="http://schemas.microsoft.com/office/drawing/2014/main" id="{00000000-0008-0000-0000-0000C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66</xdr:row>
          <xdr:rowOff>38100</xdr:rowOff>
        </xdr:from>
        <xdr:to>
          <xdr:col>27</xdr:col>
          <xdr:colOff>342900</xdr:colOff>
          <xdr:row>66</xdr:row>
          <xdr:rowOff>266700</xdr:rowOff>
        </xdr:to>
        <xdr:sp macro="" textlink="">
          <xdr:nvSpPr>
            <xdr:cNvPr id="5574" name="Check Box 1478" hidden="1">
              <a:extLst>
                <a:ext uri="{63B3BB69-23CF-44E3-9099-C40C66FF867C}">
                  <a14:compatExt spid="_x0000_s5574"/>
                </a:ext>
                <a:ext uri="{FF2B5EF4-FFF2-40B4-BE49-F238E27FC236}">
                  <a16:creationId xmlns:a16="http://schemas.microsoft.com/office/drawing/2014/main" id="{00000000-0008-0000-0000-0000C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66</xdr:row>
          <xdr:rowOff>38100</xdr:rowOff>
        </xdr:from>
        <xdr:to>
          <xdr:col>28</xdr:col>
          <xdr:colOff>342900</xdr:colOff>
          <xdr:row>66</xdr:row>
          <xdr:rowOff>266700</xdr:rowOff>
        </xdr:to>
        <xdr:sp macro="" textlink="">
          <xdr:nvSpPr>
            <xdr:cNvPr id="5575" name="Check Box 1479" hidden="1">
              <a:extLst>
                <a:ext uri="{63B3BB69-23CF-44E3-9099-C40C66FF867C}">
                  <a14:compatExt spid="_x0000_s5575"/>
                </a:ext>
                <a:ext uri="{FF2B5EF4-FFF2-40B4-BE49-F238E27FC236}">
                  <a16:creationId xmlns:a16="http://schemas.microsoft.com/office/drawing/2014/main" id="{00000000-0008-0000-0000-0000C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66</xdr:row>
          <xdr:rowOff>38100</xdr:rowOff>
        </xdr:from>
        <xdr:to>
          <xdr:col>29</xdr:col>
          <xdr:colOff>342900</xdr:colOff>
          <xdr:row>66</xdr:row>
          <xdr:rowOff>266700</xdr:rowOff>
        </xdr:to>
        <xdr:sp macro="" textlink="">
          <xdr:nvSpPr>
            <xdr:cNvPr id="5576" name="Check Box 1480" hidden="1">
              <a:extLst>
                <a:ext uri="{63B3BB69-23CF-44E3-9099-C40C66FF867C}">
                  <a14:compatExt spid="_x0000_s5576"/>
                </a:ext>
                <a:ext uri="{FF2B5EF4-FFF2-40B4-BE49-F238E27FC236}">
                  <a16:creationId xmlns:a16="http://schemas.microsoft.com/office/drawing/2014/main" id="{00000000-0008-0000-0000-0000C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66</xdr:row>
          <xdr:rowOff>38100</xdr:rowOff>
        </xdr:from>
        <xdr:to>
          <xdr:col>30</xdr:col>
          <xdr:colOff>342900</xdr:colOff>
          <xdr:row>66</xdr:row>
          <xdr:rowOff>266700</xdr:rowOff>
        </xdr:to>
        <xdr:sp macro="" textlink="">
          <xdr:nvSpPr>
            <xdr:cNvPr id="5577" name="Check Box 1481" hidden="1">
              <a:extLst>
                <a:ext uri="{63B3BB69-23CF-44E3-9099-C40C66FF867C}">
                  <a14:compatExt spid="_x0000_s5577"/>
                </a:ext>
                <a:ext uri="{FF2B5EF4-FFF2-40B4-BE49-F238E27FC236}">
                  <a16:creationId xmlns:a16="http://schemas.microsoft.com/office/drawing/2014/main" id="{00000000-0008-0000-0000-0000C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66</xdr:row>
          <xdr:rowOff>38100</xdr:rowOff>
        </xdr:from>
        <xdr:to>
          <xdr:col>31</xdr:col>
          <xdr:colOff>342900</xdr:colOff>
          <xdr:row>66</xdr:row>
          <xdr:rowOff>266700</xdr:rowOff>
        </xdr:to>
        <xdr:sp macro="" textlink="">
          <xdr:nvSpPr>
            <xdr:cNvPr id="5578" name="Check Box 1482" hidden="1">
              <a:extLst>
                <a:ext uri="{63B3BB69-23CF-44E3-9099-C40C66FF867C}">
                  <a14:compatExt spid="_x0000_s5578"/>
                </a:ext>
                <a:ext uri="{FF2B5EF4-FFF2-40B4-BE49-F238E27FC236}">
                  <a16:creationId xmlns:a16="http://schemas.microsoft.com/office/drawing/2014/main" id="{00000000-0008-0000-0000-0000C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66</xdr:row>
          <xdr:rowOff>38100</xdr:rowOff>
        </xdr:from>
        <xdr:to>
          <xdr:col>32</xdr:col>
          <xdr:colOff>342900</xdr:colOff>
          <xdr:row>66</xdr:row>
          <xdr:rowOff>266700</xdr:rowOff>
        </xdr:to>
        <xdr:sp macro="" textlink="">
          <xdr:nvSpPr>
            <xdr:cNvPr id="5579" name="Check Box 1483" hidden="1">
              <a:extLst>
                <a:ext uri="{63B3BB69-23CF-44E3-9099-C40C66FF867C}">
                  <a14:compatExt spid="_x0000_s5579"/>
                </a:ext>
                <a:ext uri="{FF2B5EF4-FFF2-40B4-BE49-F238E27FC236}">
                  <a16:creationId xmlns:a16="http://schemas.microsoft.com/office/drawing/2014/main" id="{00000000-0008-0000-0000-0000C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66</xdr:row>
          <xdr:rowOff>38100</xdr:rowOff>
        </xdr:from>
        <xdr:to>
          <xdr:col>33</xdr:col>
          <xdr:colOff>342900</xdr:colOff>
          <xdr:row>66</xdr:row>
          <xdr:rowOff>266700</xdr:rowOff>
        </xdr:to>
        <xdr:sp macro="" textlink="">
          <xdr:nvSpPr>
            <xdr:cNvPr id="5580" name="Check Box 1484" hidden="1">
              <a:extLst>
                <a:ext uri="{63B3BB69-23CF-44E3-9099-C40C66FF867C}">
                  <a14:compatExt spid="_x0000_s5580"/>
                </a:ext>
                <a:ext uri="{FF2B5EF4-FFF2-40B4-BE49-F238E27FC236}">
                  <a16:creationId xmlns:a16="http://schemas.microsoft.com/office/drawing/2014/main" id="{00000000-0008-0000-0000-0000C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66</xdr:row>
          <xdr:rowOff>38100</xdr:rowOff>
        </xdr:from>
        <xdr:to>
          <xdr:col>34</xdr:col>
          <xdr:colOff>342900</xdr:colOff>
          <xdr:row>66</xdr:row>
          <xdr:rowOff>266700</xdr:rowOff>
        </xdr:to>
        <xdr:sp macro="" textlink="">
          <xdr:nvSpPr>
            <xdr:cNvPr id="5581" name="Check Box 1485" hidden="1">
              <a:extLst>
                <a:ext uri="{63B3BB69-23CF-44E3-9099-C40C66FF867C}">
                  <a14:compatExt spid="_x0000_s5581"/>
                </a:ext>
                <a:ext uri="{FF2B5EF4-FFF2-40B4-BE49-F238E27FC236}">
                  <a16:creationId xmlns:a16="http://schemas.microsoft.com/office/drawing/2014/main" id="{00000000-0008-0000-0000-0000C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66</xdr:row>
          <xdr:rowOff>38100</xdr:rowOff>
        </xdr:from>
        <xdr:to>
          <xdr:col>35</xdr:col>
          <xdr:colOff>342900</xdr:colOff>
          <xdr:row>66</xdr:row>
          <xdr:rowOff>266700</xdr:rowOff>
        </xdr:to>
        <xdr:sp macro="" textlink="">
          <xdr:nvSpPr>
            <xdr:cNvPr id="5582" name="Check Box 1486" hidden="1">
              <a:extLst>
                <a:ext uri="{63B3BB69-23CF-44E3-9099-C40C66FF867C}">
                  <a14:compatExt spid="_x0000_s5582"/>
                </a:ext>
                <a:ext uri="{FF2B5EF4-FFF2-40B4-BE49-F238E27FC236}">
                  <a16:creationId xmlns:a16="http://schemas.microsoft.com/office/drawing/2014/main" id="{00000000-0008-0000-0000-0000C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66</xdr:row>
          <xdr:rowOff>38100</xdr:rowOff>
        </xdr:from>
        <xdr:to>
          <xdr:col>36</xdr:col>
          <xdr:colOff>342900</xdr:colOff>
          <xdr:row>66</xdr:row>
          <xdr:rowOff>266700</xdr:rowOff>
        </xdr:to>
        <xdr:sp macro="" textlink="">
          <xdr:nvSpPr>
            <xdr:cNvPr id="5583" name="Check Box 1487" hidden="1">
              <a:extLst>
                <a:ext uri="{63B3BB69-23CF-44E3-9099-C40C66FF867C}">
                  <a14:compatExt spid="_x0000_s5583"/>
                </a:ext>
                <a:ext uri="{FF2B5EF4-FFF2-40B4-BE49-F238E27FC236}">
                  <a16:creationId xmlns:a16="http://schemas.microsoft.com/office/drawing/2014/main" id="{00000000-0008-0000-0000-0000C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66</xdr:row>
          <xdr:rowOff>38100</xdr:rowOff>
        </xdr:from>
        <xdr:to>
          <xdr:col>37</xdr:col>
          <xdr:colOff>342900</xdr:colOff>
          <xdr:row>66</xdr:row>
          <xdr:rowOff>266700</xdr:rowOff>
        </xdr:to>
        <xdr:sp macro="" textlink="">
          <xdr:nvSpPr>
            <xdr:cNvPr id="5584" name="Check Box 1488" hidden="1">
              <a:extLst>
                <a:ext uri="{63B3BB69-23CF-44E3-9099-C40C66FF867C}">
                  <a14:compatExt spid="_x0000_s5584"/>
                </a:ext>
                <a:ext uri="{FF2B5EF4-FFF2-40B4-BE49-F238E27FC236}">
                  <a16:creationId xmlns:a16="http://schemas.microsoft.com/office/drawing/2014/main" id="{00000000-0008-0000-0000-0000D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67</xdr:row>
          <xdr:rowOff>38100</xdr:rowOff>
        </xdr:from>
        <xdr:to>
          <xdr:col>7</xdr:col>
          <xdr:colOff>342900</xdr:colOff>
          <xdr:row>67</xdr:row>
          <xdr:rowOff>266700</xdr:rowOff>
        </xdr:to>
        <xdr:sp macro="" textlink="">
          <xdr:nvSpPr>
            <xdr:cNvPr id="5585" name="Check Box 1489" hidden="1">
              <a:extLst>
                <a:ext uri="{63B3BB69-23CF-44E3-9099-C40C66FF867C}">
                  <a14:compatExt spid="_x0000_s5585"/>
                </a:ext>
                <a:ext uri="{FF2B5EF4-FFF2-40B4-BE49-F238E27FC236}">
                  <a16:creationId xmlns:a16="http://schemas.microsoft.com/office/drawing/2014/main" id="{00000000-0008-0000-0000-0000D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67</xdr:row>
          <xdr:rowOff>38100</xdr:rowOff>
        </xdr:from>
        <xdr:to>
          <xdr:col>8</xdr:col>
          <xdr:colOff>342900</xdr:colOff>
          <xdr:row>67</xdr:row>
          <xdr:rowOff>266700</xdr:rowOff>
        </xdr:to>
        <xdr:sp macro="" textlink="">
          <xdr:nvSpPr>
            <xdr:cNvPr id="5586" name="Check Box 1490" hidden="1">
              <a:extLst>
                <a:ext uri="{63B3BB69-23CF-44E3-9099-C40C66FF867C}">
                  <a14:compatExt spid="_x0000_s5586"/>
                </a:ext>
                <a:ext uri="{FF2B5EF4-FFF2-40B4-BE49-F238E27FC236}">
                  <a16:creationId xmlns:a16="http://schemas.microsoft.com/office/drawing/2014/main" id="{00000000-0008-0000-0000-0000D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67</xdr:row>
          <xdr:rowOff>38100</xdr:rowOff>
        </xdr:from>
        <xdr:to>
          <xdr:col>9</xdr:col>
          <xdr:colOff>342900</xdr:colOff>
          <xdr:row>67</xdr:row>
          <xdr:rowOff>266700</xdr:rowOff>
        </xdr:to>
        <xdr:sp macro="" textlink="">
          <xdr:nvSpPr>
            <xdr:cNvPr id="5587" name="Check Box 1491" hidden="1">
              <a:extLst>
                <a:ext uri="{63B3BB69-23CF-44E3-9099-C40C66FF867C}">
                  <a14:compatExt spid="_x0000_s5587"/>
                </a:ext>
                <a:ext uri="{FF2B5EF4-FFF2-40B4-BE49-F238E27FC236}">
                  <a16:creationId xmlns:a16="http://schemas.microsoft.com/office/drawing/2014/main" id="{00000000-0008-0000-0000-0000D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67</xdr:row>
          <xdr:rowOff>38100</xdr:rowOff>
        </xdr:from>
        <xdr:to>
          <xdr:col>10</xdr:col>
          <xdr:colOff>342900</xdr:colOff>
          <xdr:row>67</xdr:row>
          <xdr:rowOff>266700</xdr:rowOff>
        </xdr:to>
        <xdr:sp macro="" textlink="">
          <xdr:nvSpPr>
            <xdr:cNvPr id="5588" name="Check Box 1492" hidden="1">
              <a:extLst>
                <a:ext uri="{63B3BB69-23CF-44E3-9099-C40C66FF867C}">
                  <a14:compatExt spid="_x0000_s5588"/>
                </a:ext>
                <a:ext uri="{FF2B5EF4-FFF2-40B4-BE49-F238E27FC236}">
                  <a16:creationId xmlns:a16="http://schemas.microsoft.com/office/drawing/2014/main" id="{00000000-0008-0000-0000-0000D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67</xdr:row>
          <xdr:rowOff>38100</xdr:rowOff>
        </xdr:from>
        <xdr:to>
          <xdr:col>11</xdr:col>
          <xdr:colOff>342900</xdr:colOff>
          <xdr:row>67</xdr:row>
          <xdr:rowOff>266700</xdr:rowOff>
        </xdr:to>
        <xdr:sp macro="" textlink="">
          <xdr:nvSpPr>
            <xdr:cNvPr id="5589" name="Check Box 1493" hidden="1">
              <a:extLst>
                <a:ext uri="{63B3BB69-23CF-44E3-9099-C40C66FF867C}">
                  <a14:compatExt spid="_x0000_s5589"/>
                </a:ext>
                <a:ext uri="{FF2B5EF4-FFF2-40B4-BE49-F238E27FC236}">
                  <a16:creationId xmlns:a16="http://schemas.microsoft.com/office/drawing/2014/main" id="{00000000-0008-0000-0000-0000D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67</xdr:row>
          <xdr:rowOff>38100</xdr:rowOff>
        </xdr:from>
        <xdr:to>
          <xdr:col>12</xdr:col>
          <xdr:colOff>342900</xdr:colOff>
          <xdr:row>67</xdr:row>
          <xdr:rowOff>266700</xdr:rowOff>
        </xdr:to>
        <xdr:sp macro="" textlink="">
          <xdr:nvSpPr>
            <xdr:cNvPr id="5590" name="Check Box 1494" hidden="1">
              <a:extLst>
                <a:ext uri="{63B3BB69-23CF-44E3-9099-C40C66FF867C}">
                  <a14:compatExt spid="_x0000_s5590"/>
                </a:ext>
                <a:ext uri="{FF2B5EF4-FFF2-40B4-BE49-F238E27FC236}">
                  <a16:creationId xmlns:a16="http://schemas.microsoft.com/office/drawing/2014/main" id="{00000000-0008-0000-0000-0000D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67</xdr:row>
          <xdr:rowOff>38100</xdr:rowOff>
        </xdr:from>
        <xdr:to>
          <xdr:col>13</xdr:col>
          <xdr:colOff>342900</xdr:colOff>
          <xdr:row>67</xdr:row>
          <xdr:rowOff>266700</xdr:rowOff>
        </xdr:to>
        <xdr:sp macro="" textlink="">
          <xdr:nvSpPr>
            <xdr:cNvPr id="5591" name="Check Box 1495" hidden="1">
              <a:extLst>
                <a:ext uri="{63B3BB69-23CF-44E3-9099-C40C66FF867C}">
                  <a14:compatExt spid="_x0000_s5591"/>
                </a:ext>
                <a:ext uri="{FF2B5EF4-FFF2-40B4-BE49-F238E27FC236}">
                  <a16:creationId xmlns:a16="http://schemas.microsoft.com/office/drawing/2014/main" id="{00000000-0008-0000-0000-0000D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67</xdr:row>
          <xdr:rowOff>38100</xdr:rowOff>
        </xdr:from>
        <xdr:to>
          <xdr:col>14</xdr:col>
          <xdr:colOff>342900</xdr:colOff>
          <xdr:row>67</xdr:row>
          <xdr:rowOff>266700</xdr:rowOff>
        </xdr:to>
        <xdr:sp macro="" textlink="">
          <xdr:nvSpPr>
            <xdr:cNvPr id="5592" name="Check Box 1496" hidden="1">
              <a:extLst>
                <a:ext uri="{63B3BB69-23CF-44E3-9099-C40C66FF867C}">
                  <a14:compatExt spid="_x0000_s5592"/>
                </a:ext>
                <a:ext uri="{FF2B5EF4-FFF2-40B4-BE49-F238E27FC236}">
                  <a16:creationId xmlns:a16="http://schemas.microsoft.com/office/drawing/2014/main" id="{00000000-0008-0000-0000-0000D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67</xdr:row>
          <xdr:rowOff>38100</xdr:rowOff>
        </xdr:from>
        <xdr:to>
          <xdr:col>15</xdr:col>
          <xdr:colOff>342900</xdr:colOff>
          <xdr:row>67</xdr:row>
          <xdr:rowOff>266700</xdr:rowOff>
        </xdr:to>
        <xdr:sp macro="" textlink="">
          <xdr:nvSpPr>
            <xdr:cNvPr id="5593" name="Check Box 1497" hidden="1">
              <a:extLst>
                <a:ext uri="{63B3BB69-23CF-44E3-9099-C40C66FF867C}">
                  <a14:compatExt spid="_x0000_s5593"/>
                </a:ext>
                <a:ext uri="{FF2B5EF4-FFF2-40B4-BE49-F238E27FC236}">
                  <a16:creationId xmlns:a16="http://schemas.microsoft.com/office/drawing/2014/main" id="{00000000-0008-0000-0000-0000D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67</xdr:row>
          <xdr:rowOff>38100</xdr:rowOff>
        </xdr:from>
        <xdr:to>
          <xdr:col>16</xdr:col>
          <xdr:colOff>342900</xdr:colOff>
          <xdr:row>67</xdr:row>
          <xdr:rowOff>266700</xdr:rowOff>
        </xdr:to>
        <xdr:sp macro="" textlink="">
          <xdr:nvSpPr>
            <xdr:cNvPr id="5594" name="Check Box 1498" hidden="1">
              <a:extLst>
                <a:ext uri="{63B3BB69-23CF-44E3-9099-C40C66FF867C}">
                  <a14:compatExt spid="_x0000_s5594"/>
                </a:ext>
                <a:ext uri="{FF2B5EF4-FFF2-40B4-BE49-F238E27FC236}">
                  <a16:creationId xmlns:a16="http://schemas.microsoft.com/office/drawing/2014/main" id="{00000000-0008-0000-0000-0000D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67</xdr:row>
          <xdr:rowOff>38100</xdr:rowOff>
        </xdr:from>
        <xdr:to>
          <xdr:col>17</xdr:col>
          <xdr:colOff>342900</xdr:colOff>
          <xdr:row>67</xdr:row>
          <xdr:rowOff>266700</xdr:rowOff>
        </xdr:to>
        <xdr:sp macro="" textlink="">
          <xdr:nvSpPr>
            <xdr:cNvPr id="5595" name="Check Box 1499" hidden="1">
              <a:extLst>
                <a:ext uri="{63B3BB69-23CF-44E3-9099-C40C66FF867C}">
                  <a14:compatExt spid="_x0000_s5595"/>
                </a:ext>
                <a:ext uri="{FF2B5EF4-FFF2-40B4-BE49-F238E27FC236}">
                  <a16:creationId xmlns:a16="http://schemas.microsoft.com/office/drawing/2014/main" id="{00000000-0008-0000-0000-0000D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67</xdr:row>
          <xdr:rowOff>38100</xdr:rowOff>
        </xdr:from>
        <xdr:to>
          <xdr:col>18</xdr:col>
          <xdr:colOff>342900</xdr:colOff>
          <xdr:row>67</xdr:row>
          <xdr:rowOff>266700</xdr:rowOff>
        </xdr:to>
        <xdr:sp macro="" textlink="">
          <xdr:nvSpPr>
            <xdr:cNvPr id="5596" name="Check Box 1500" hidden="1">
              <a:extLst>
                <a:ext uri="{63B3BB69-23CF-44E3-9099-C40C66FF867C}">
                  <a14:compatExt spid="_x0000_s5596"/>
                </a:ext>
                <a:ext uri="{FF2B5EF4-FFF2-40B4-BE49-F238E27FC236}">
                  <a16:creationId xmlns:a16="http://schemas.microsoft.com/office/drawing/2014/main" id="{00000000-0008-0000-0000-0000D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67</xdr:row>
          <xdr:rowOff>38100</xdr:rowOff>
        </xdr:from>
        <xdr:to>
          <xdr:col>19</xdr:col>
          <xdr:colOff>342900</xdr:colOff>
          <xdr:row>67</xdr:row>
          <xdr:rowOff>266700</xdr:rowOff>
        </xdr:to>
        <xdr:sp macro="" textlink="">
          <xdr:nvSpPr>
            <xdr:cNvPr id="5597" name="Check Box 1501" hidden="1">
              <a:extLst>
                <a:ext uri="{63B3BB69-23CF-44E3-9099-C40C66FF867C}">
                  <a14:compatExt spid="_x0000_s5597"/>
                </a:ext>
                <a:ext uri="{FF2B5EF4-FFF2-40B4-BE49-F238E27FC236}">
                  <a16:creationId xmlns:a16="http://schemas.microsoft.com/office/drawing/2014/main" id="{00000000-0008-0000-0000-0000D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67</xdr:row>
          <xdr:rowOff>38100</xdr:rowOff>
        </xdr:from>
        <xdr:to>
          <xdr:col>20</xdr:col>
          <xdr:colOff>342900</xdr:colOff>
          <xdr:row>67</xdr:row>
          <xdr:rowOff>266700</xdr:rowOff>
        </xdr:to>
        <xdr:sp macro="" textlink="">
          <xdr:nvSpPr>
            <xdr:cNvPr id="5598" name="Check Box 1502" hidden="1">
              <a:extLst>
                <a:ext uri="{63B3BB69-23CF-44E3-9099-C40C66FF867C}">
                  <a14:compatExt spid="_x0000_s5598"/>
                </a:ext>
                <a:ext uri="{FF2B5EF4-FFF2-40B4-BE49-F238E27FC236}">
                  <a16:creationId xmlns:a16="http://schemas.microsoft.com/office/drawing/2014/main" id="{00000000-0008-0000-0000-0000D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67</xdr:row>
          <xdr:rowOff>38100</xdr:rowOff>
        </xdr:from>
        <xdr:to>
          <xdr:col>21</xdr:col>
          <xdr:colOff>342900</xdr:colOff>
          <xdr:row>67</xdr:row>
          <xdr:rowOff>266700</xdr:rowOff>
        </xdr:to>
        <xdr:sp macro="" textlink="">
          <xdr:nvSpPr>
            <xdr:cNvPr id="5599" name="Check Box 1503" hidden="1">
              <a:extLst>
                <a:ext uri="{63B3BB69-23CF-44E3-9099-C40C66FF867C}">
                  <a14:compatExt spid="_x0000_s5599"/>
                </a:ext>
                <a:ext uri="{FF2B5EF4-FFF2-40B4-BE49-F238E27FC236}">
                  <a16:creationId xmlns:a16="http://schemas.microsoft.com/office/drawing/2014/main" id="{00000000-0008-0000-0000-0000D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67</xdr:row>
          <xdr:rowOff>38100</xdr:rowOff>
        </xdr:from>
        <xdr:to>
          <xdr:col>22</xdr:col>
          <xdr:colOff>342900</xdr:colOff>
          <xdr:row>67</xdr:row>
          <xdr:rowOff>266700</xdr:rowOff>
        </xdr:to>
        <xdr:sp macro="" textlink="">
          <xdr:nvSpPr>
            <xdr:cNvPr id="5600" name="Check Box 1504" hidden="1">
              <a:extLst>
                <a:ext uri="{63B3BB69-23CF-44E3-9099-C40C66FF867C}">
                  <a14:compatExt spid="_x0000_s5600"/>
                </a:ext>
                <a:ext uri="{FF2B5EF4-FFF2-40B4-BE49-F238E27FC236}">
                  <a16:creationId xmlns:a16="http://schemas.microsoft.com/office/drawing/2014/main" id="{00000000-0008-0000-0000-0000E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67</xdr:row>
          <xdr:rowOff>38100</xdr:rowOff>
        </xdr:from>
        <xdr:to>
          <xdr:col>23</xdr:col>
          <xdr:colOff>342900</xdr:colOff>
          <xdr:row>67</xdr:row>
          <xdr:rowOff>266700</xdr:rowOff>
        </xdr:to>
        <xdr:sp macro="" textlink="">
          <xdr:nvSpPr>
            <xdr:cNvPr id="5601" name="Check Box 1505" hidden="1">
              <a:extLst>
                <a:ext uri="{63B3BB69-23CF-44E3-9099-C40C66FF867C}">
                  <a14:compatExt spid="_x0000_s5601"/>
                </a:ext>
                <a:ext uri="{FF2B5EF4-FFF2-40B4-BE49-F238E27FC236}">
                  <a16:creationId xmlns:a16="http://schemas.microsoft.com/office/drawing/2014/main" id="{00000000-0008-0000-0000-0000E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67</xdr:row>
          <xdr:rowOff>38100</xdr:rowOff>
        </xdr:from>
        <xdr:to>
          <xdr:col>24</xdr:col>
          <xdr:colOff>342900</xdr:colOff>
          <xdr:row>67</xdr:row>
          <xdr:rowOff>266700</xdr:rowOff>
        </xdr:to>
        <xdr:sp macro="" textlink="">
          <xdr:nvSpPr>
            <xdr:cNvPr id="5602" name="Check Box 1506" hidden="1">
              <a:extLst>
                <a:ext uri="{63B3BB69-23CF-44E3-9099-C40C66FF867C}">
                  <a14:compatExt spid="_x0000_s5602"/>
                </a:ext>
                <a:ext uri="{FF2B5EF4-FFF2-40B4-BE49-F238E27FC236}">
                  <a16:creationId xmlns:a16="http://schemas.microsoft.com/office/drawing/2014/main" id="{00000000-0008-0000-0000-0000E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67</xdr:row>
          <xdr:rowOff>38100</xdr:rowOff>
        </xdr:from>
        <xdr:to>
          <xdr:col>25</xdr:col>
          <xdr:colOff>342900</xdr:colOff>
          <xdr:row>67</xdr:row>
          <xdr:rowOff>266700</xdr:rowOff>
        </xdr:to>
        <xdr:sp macro="" textlink="">
          <xdr:nvSpPr>
            <xdr:cNvPr id="5603" name="Check Box 1507" hidden="1">
              <a:extLst>
                <a:ext uri="{63B3BB69-23CF-44E3-9099-C40C66FF867C}">
                  <a14:compatExt spid="_x0000_s5603"/>
                </a:ext>
                <a:ext uri="{FF2B5EF4-FFF2-40B4-BE49-F238E27FC236}">
                  <a16:creationId xmlns:a16="http://schemas.microsoft.com/office/drawing/2014/main" id="{00000000-0008-0000-0000-0000E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67</xdr:row>
          <xdr:rowOff>38100</xdr:rowOff>
        </xdr:from>
        <xdr:to>
          <xdr:col>26</xdr:col>
          <xdr:colOff>342900</xdr:colOff>
          <xdr:row>67</xdr:row>
          <xdr:rowOff>266700</xdr:rowOff>
        </xdr:to>
        <xdr:sp macro="" textlink="">
          <xdr:nvSpPr>
            <xdr:cNvPr id="5604" name="Check Box 1508" hidden="1">
              <a:extLst>
                <a:ext uri="{63B3BB69-23CF-44E3-9099-C40C66FF867C}">
                  <a14:compatExt spid="_x0000_s5604"/>
                </a:ext>
                <a:ext uri="{FF2B5EF4-FFF2-40B4-BE49-F238E27FC236}">
                  <a16:creationId xmlns:a16="http://schemas.microsoft.com/office/drawing/2014/main" id="{00000000-0008-0000-0000-0000E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67</xdr:row>
          <xdr:rowOff>38100</xdr:rowOff>
        </xdr:from>
        <xdr:to>
          <xdr:col>27</xdr:col>
          <xdr:colOff>342900</xdr:colOff>
          <xdr:row>67</xdr:row>
          <xdr:rowOff>266700</xdr:rowOff>
        </xdr:to>
        <xdr:sp macro="" textlink="">
          <xdr:nvSpPr>
            <xdr:cNvPr id="5605" name="Check Box 1509" hidden="1">
              <a:extLst>
                <a:ext uri="{63B3BB69-23CF-44E3-9099-C40C66FF867C}">
                  <a14:compatExt spid="_x0000_s5605"/>
                </a:ext>
                <a:ext uri="{FF2B5EF4-FFF2-40B4-BE49-F238E27FC236}">
                  <a16:creationId xmlns:a16="http://schemas.microsoft.com/office/drawing/2014/main" id="{00000000-0008-0000-0000-0000E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67</xdr:row>
          <xdr:rowOff>38100</xdr:rowOff>
        </xdr:from>
        <xdr:to>
          <xdr:col>28</xdr:col>
          <xdr:colOff>342900</xdr:colOff>
          <xdr:row>67</xdr:row>
          <xdr:rowOff>266700</xdr:rowOff>
        </xdr:to>
        <xdr:sp macro="" textlink="">
          <xdr:nvSpPr>
            <xdr:cNvPr id="5606" name="Check Box 1510" hidden="1">
              <a:extLst>
                <a:ext uri="{63B3BB69-23CF-44E3-9099-C40C66FF867C}">
                  <a14:compatExt spid="_x0000_s5606"/>
                </a:ext>
                <a:ext uri="{FF2B5EF4-FFF2-40B4-BE49-F238E27FC236}">
                  <a16:creationId xmlns:a16="http://schemas.microsoft.com/office/drawing/2014/main" id="{00000000-0008-0000-0000-0000E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67</xdr:row>
          <xdr:rowOff>38100</xdr:rowOff>
        </xdr:from>
        <xdr:to>
          <xdr:col>29</xdr:col>
          <xdr:colOff>342900</xdr:colOff>
          <xdr:row>67</xdr:row>
          <xdr:rowOff>266700</xdr:rowOff>
        </xdr:to>
        <xdr:sp macro="" textlink="">
          <xdr:nvSpPr>
            <xdr:cNvPr id="5607" name="Check Box 1511" hidden="1">
              <a:extLst>
                <a:ext uri="{63B3BB69-23CF-44E3-9099-C40C66FF867C}">
                  <a14:compatExt spid="_x0000_s5607"/>
                </a:ext>
                <a:ext uri="{FF2B5EF4-FFF2-40B4-BE49-F238E27FC236}">
                  <a16:creationId xmlns:a16="http://schemas.microsoft.com/office/drawing/2014/main" id="{00000000-0008-0000-0000-0000E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67</xdr:row>
          <xdr:rowOff>38100</xdr:rowOff>
        </xdr:from>
        <xdr:to>
          <xdr:col>30</xdr:col>
          <xdr:colOff>342900</xdr:colOff>
          <xdr:row>67</xdr:row>
          <xdr:rowOff>266700</xdr:rowOff>
        </xdr:to>
        <xdr:sp macro="" textlink="">
          <xdr:nvSpPr>
            <xdr:cNvPr id="5608" name="Check Box 1512" hidden="1">
              <a:extLst>
                <a:ext uri="{63B3BB69-23CF-44E3-9099-C40C66FF867C}">
                  <a14:compatExt spid="_x0000_s5608"/>
                </a:ext>
                <a:ext uri="{FF2B5EF4-FFF2-40B4-BE49-F238E27FC236}">
                  <a16:creationId xmlns:a16="http://schemas.microsoft.com/office/drawing/2014/main" id="{00000000-0008-0000-0000-0000E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67</xdr:row>
          <xdr:rowOff>38100</xdr:rowOff>
        </xdr:from>
        <xdr:to>
          <xdr:col>31</xdr:col>
          <xdr:colOff>342900</xdr:colOff>
          <xdr:row>67</xdr:row>
          <xdr:rowOff>266700</xdr:rowOff>
        </xdr:to>
        <xdr:sp macro="" textlink="">
          <xdr:nvSpPr>
            <xdr:cNvPr id="5609" name="Check Box 1513" hidden="1">
              <a:extLst>
                <a:ext uri="{63B3BB69-23CF-44E3-9099-C40C66FF867C}">
                  <a14:compatExt spid="_x0000_s5609"/>
                </a:ext>
                <a:ext uri="{FF2B5EF4-FFF2-40B4-BE49-F238E27FC236}">
                  <a16:creationId xmlns:a16="http://schemas.microsoft.com/office/drawing/2014/main" id="{00000000-0008-0000-0000-0000E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67</xdr:row>
          <xdr:rowOff>38100</xdr:rowOff>
        </xdr:from>
        <xdr:to>
          <xdr:col>32</xdr:col>
          <xdr:colOff>342900</xdr:colOff>
          <xdr:row>67</xdr:row>
          <xdr:rowOff>266700</xdr:rowOff>
        </xdr:to>
        <xdr:sp macro="" textlink="">
          <xdr:nvSpPr>
            <xdr:cNvPr id="5610" name="Check Box 1514" hidden="1">
              <a:extLst>
                <a:ext uri="{63B3BB69-23CF-44E3-9099-C40C66FF867C}">
                  <a14:compatExt spid="_x0000_s5610"/>
                </a:ext>
                <a:ext uri="{FF2B5EF4-FFF2-40B4-BE49-F238E27FC236}">
                  <a16:creationId xmlns:a16="http://schemas.microsoft.com/office/drawing/2014/main" id="{00000000-0008-0000-0000-0000E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67</xdr:row>
          <xdr:rowOff>38100</xdr:rowOff>
        </xdr:from>
        <xdr:to>
          <xdr:col>33</xdr:col>
          <xdr:colOff>342900</xdr:colOff>
          <xdr:row>67</xdr:row>
          <xdr:rowOff>266700</xdr:rowOff>
        </xdr:to>
        <xdr:sp macro="" textlink="">
          <xdr:nvSpPr>
            <xdr:cNvPr id="5611" name="Check Box 1515" hidden="1">
              <a:extLst>
                <a:ext uri="{63B3BB69-23CF-44E3-9099-C40C66FF867C}">
                  <a14:compatExt spid="_x0000_s5611"/>
                </a:ext>
                <a:ext uri="{FF2B5EF4-FFF2-40B4-BE49-F238E27FC236}">
                  <a16:creationId xmlns:a16="http://schemas.microsoft.com/office/drawing/2014/main" id="{00000000-0008-0000-0000-0000E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67</xdr:row>
          <xdr:rowOff>38100</xdr:rowOff>
        </xdr:from>
        <xdr:to>
          <xdr:col>34</xdr:col>
          <xdr:colOff>342900</xdr:colOff>
          <xdr:row>67</xdr:row>
          <xdr:rowOff>266700</xdr:rowOff>
        </xdr:to>
        <xdr:sp macro="" textlink="">
          <xdr:nvSpPr>
            <xdr:cNvPr id="5612" name="Check Box 1516" hidden="1">
              <a:extLst>
                <a:ext uri="{63B3BB69-23CF-44E3-9099-C40C66FF867C}">
                  <a14:compatExt spid="_x0000_s5612"/>
                </a:ext>
                <a:ext uri="{FF2B5EF4-FFF2-40B4-BE49-F238E27FC236}">
                  <a16:creationId xmlns:a16="http://schemas.microsoft.com/office/drawing/2014/main" id="{00000000-0008-0000-0000-0000E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67</xdr:row>
          <xdr:rowOff>38100</xdr:rowOff>
        </xdr:from>
        <xdr:to>
          <xdr:col>35</xdr:col>
          <xdr:colOff>342900</xdr:colOff>
          <xdr:row>67</xdr:row>
          <xdr:rowOff>266700</xdr:rowOff>
        </xdr:to>
        <xdr:sp macro="" textlink="">
          <xdr:nvSpPr>
            <xdr:cNvPr id="5613" name="Check Box 1517" hidden="1">
              <a:extLst>
                <a:ext uri="{63B3BB69-23CF-44E3-9099-C40C66FF867C}">
                  <a14:compatExt spid="_x0000_s5613"/>
                </a:ext>
                <a:ext uri="{FF2B5EF4-FFF2-40B4-BE49-F238E27FC236}">
                  <a16:creationId xmlns:a16="http://schemas.microsoft.com/office/drawing/2014/main" id="{00000000-0008-0000-0000-0000E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67</xdr:row>
          <xdr:rowOff>38100</xdr:rowOff>
        </xdr:from>
        <xdr:to>
          <xdr:col>36</xdr:col>
          <xdr:colOff>342900</xdr:colOff>
          <xdr:row>67</xdr:row>
          <xdr:rowOff>266700</xdr:rowOff>
        </xdr:to>
        <xdr:sp macro="" textlink="">
          <xdr:nvSpPr>
            <xdr:cNvPr id="5614" name="Check Box 1518" hidden="1">
              <a:extLst>
                <a:ext uri="{63B3BB69-23CF-44E3-9099-C40C66FF867C}">
                  <a14:compatExt spid="_x0000_s5614"/>
                </a:ext>
                <a:ext uri="{FF2B5EF4-FFF2-40B4-BE49-F238E27FC236}">
                  <a16:creationId xmlns:a16="http://schemas.microsoft.com/office/drawing/2014/main" id="{00000000-0008-0000-0000-0000E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67</xdr:row>
          <xdr:rowOff>38100</xdr:rowOff>
        </xdr:from>
        <xdr:to>
          <xdr:col>37</xdr:col>
          <xdr:colOff>342900</xdr:colOff>
          <xdr:row>67</xdr:row>
          <xdr:rowOff>266700</xdr:rowOff>
        </xdr:to>
        <xdr:sp macro="" textlink="">
          <xdr:nvSpPr>
            <xdr:cNvPr id="5615" name="Check Box 1519" hidden="1">
              <a:extLst>
                <a:ext uri="{63B3BB69-23CF-44E3-9099-C40C66FF867C}">
                  <a14:compatExt spid="_x0000_s5615"/>
                </a:ext>
                <a:ext uri="{FF2B5EF4-FFF2-40B4-BE49-F238E27FC236}">
                  <a16:creationId xmlns:a16="http://schemas.microsoft.com/office/drawing/2014/main" id="{00000000-0008-0000-0000-0000E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68</xdr:row>
          <xdr:rowOff>38100</xdr:rowOff>
        </xdr:from>
        <xdr:to>
          <xdr:col>7</xdr:col>
          <xdr:colOff>342900</xdr:colOff>
          <xdr:row>68</xdr:row>
          <xdr:rowOff>266700</xdr:rowOff>
        </xdr:to>
        <xdr:sp macro="" textlink="">
          <xdr:nvSpPr>
            <xdr:cNvPr id="5616" name="Check Box 1520" hidden="1">
              <a:extLst>
                <a:ext uri="{63B3BB69-23CF-44E3-9099-C40C66FF867C}">
                  <a14:compatExt spid="_x0000_s5616"/>
                </a:ext>
                <a:ext uri="{FF2B5EF4-FFF2-40B4-BE49-F238E27FC236}">
                  <a16:creationId xmlns:a16="http://schemas.microsoft.com/office/drawing/2014/main" id="{00000000-0008-0000-0000-0000F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68</xdr:row>
          <xdr:rowOff>38100</xdr:rowOff>
        </xdr:from>
        <xdr:to>
          <xdr:col>8</xdr:col>
          <xdr:colOff>342900</xdr:colOff>
          <xdr:row>68</xdr:row>
          <xdr:rowOff>266700</xdr:rowOff>
        </xdr:to>
        <xdr:sp macro="" textlink="">
          <xdr:nvSpPr>
            <xdr:cNvPr id="5617" name="Check Box 1521" hidden="1">
              <a:extLst>
                <a:ext uri="{63B3BB69-23CF-44E3-9099-C40C66FF867C}">
                  <a14:compatExt spid="_x0000_s5617"/>
                </a:ext>
                <a:ext uri="{FF2B5EF4-FFF2-40B4-BE49-F238E27FC236}">
                  <a16:creationId xmlns:a16="http://schemas.microsoft.com/office/drawing/2014/main" id="{00000000-0008-0000-0000-0000F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68</xdr:row>
          <xdr:rowOff>38100</xdr:rowOff>
        </xdr:from>
        <xdr:to>
          <xdr:col>9</xdr:col>
          <xdr:colOff>342900</xdr:colOff>
          <xdr:row>68</xdr:row>
          <xdr:rowOff>266700</xdr:rowOff>
        </xdr:to>
        <xdr:sp macro="" textlink="">
          <xdr:nvSpPr>
            <xdr:cNvPr id="5618" name="Check Box 1522" hidden="1">
              <a:extLst>
                <a:ext uri="{63B3BB69-23CF-44E3-9099-C40C66FF867C}">
                  <a14:compatExt spid="_x0000_s5618"/>
                </a:ext>
                <a:ext uri="{FF2B5EF4-FFF2-40B4-BE49-F238E27FC236}">
                  <a16:creationId xmlns:a16="http://schemas.microsoft.com/office/drawing/2014/main" id="{00000000-0008-0000-0000-0000F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68</xdr:row>
          <xdr:rowOff>38100</xdr:rowOff>
        </xdr:from>
        <xdr:to>
          <xdr:col>10</xdr:col>
          <xdr:colOff>342900</xdr:colOff>
          <xdr:row>68</xdr:row>
          <xdr:rowOff>266700</xdr:rowOff>
        </xdr:to>
        <xdr:sp macro="" textlink="">
          <xdr:nvSpPr>
            <xdr:cNvPr id="5619" name="Check Box 1523" hidden="1">
              <a:extLst>
                <a:ext uri="{63B3BB69-23CF-44E3-9099-C40C66FF867C}">
                  <a14:compatExt spid="_x0000_s5619"/>
                </a:ext>
                <a:ext uri="{FF2B5EF4-FFF2-40B4-BE49-F238E27FC236}">
                  <a16:creationId xmlns:a16="http://schemas.microsoft.com/office/drawing/2014/main" id="{00000000-0008-0000-0000-0000F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68</xdr:row>
          <xdr:rowOff>38100</xdr:rowOff>
        </xdr:from>
        <xdr:to>
          <xdr:col>11</xdr:col>
          <xdr:colOff>342900</xdr:colOff>
          <xdr:row>68</xdr:row>
          <xdr:rowOff>266700</xdr:rowOff>
        </xdr:to>
        <xdr:sp macro="" textlink="">
          <xdr:nvSpPr>
            <xdr:cNvPr id="5620" name="Check Box 1524" hidden="1">
              <a:extLst>
                <a:ext uri="{63B3BB69-23CF-44E3-9099-C40C66FF867C}">
                  <a14:compatExt spid="_x0000_s5620"/>
                </a:ext>
                <a:ext uri="{FF2B5EF4-FFF2-40B4-BE49-F238E27FC236}">
                  <a16:creationId xmlns:a16="http://schemas.microsoft.com/office/drawing/2014/main" id="{00000000-0008-0000-0000-0000F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68</xdr:row>
          <xdr:rowOff>38100</xdr:rowOff>
        </xdr:from>
        <xdr:to>
          <xdr:col>12</xdr:col>
          <xdr:colOff>342900</xdr:colOff>
          <xdr:row>68</xdr:row>
          <xdr:rowOff>266700</xdr:rowOff>
        </xdr:to>
        <xdr:sp macro="" textlink="">
          <xdr:nvSpPr>
            <xdr:cNvPr id="5621" name="Check Box 1525" hidden="1">
              <a:extLst>
                <a:ext uri="{63B3BB69-23CF-44E3-9099-C40C66FF867C}">
                  <a14:compatExt spid="_x0000_s5621"/>
                </a:ext>
                <a:ext uri="{FF2B5EF4-FFF2-40B4-BE49-F238E27FC236}">
                  <a16:creationId xmlns:a16="http://schemas.microsoft.com/office/drawing/2014/main" id="{00000000-0008-0000-0000-0000F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68</xdr:row>
          <xdr:rowOff>38100</xdr:rowOff>
        </xdr:from>
        <xdr:to>
          <xdr:col>13</xdr:col>
          <xdr:colOff>342900</xdr:colOff>
          <xdr:row>68</xdr:row>
          <xdr:rowOff>266700</xdr:rowOff>
        </xdr:to>
        <xdr:sp macro="" textlink="">
          <xdr:nvSpPr>
            <xdr:cNvPr id="5622" name="Check Box 1526" hidden="1">
              <a:extLst>
                <a:ext uri="{63B3BB69-23CF-44E3-9099-C40C66FF867C}">
                  <a14:compatExt spid="_x0000_s5622"/>
                </a:ext>
                <a:ext uri="{FF2B5EF4-FFF2-40B4-BE49-F238E27FC236}">
                  <a16:creationId xmlns:a16="http://schemas.microsoft.com/office/drawing/2014/main" id="{00000000-0008-0000-0000-0000F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68</xdr:row>
          <xdr:rowOff>38100</xdr:rowOff>
        </xdr:from>
        <xdr:to>
          <xdr:col>14</xdr:col>
          <xdr:colOff>342900</xdr:colOff>
          <xdr:row>68</xdr:row>
          <xdr:rowOff>266700</xdr:rowOff>
        </xdr:to>
        <xdr:sp macro="" textlink="">
          <xdr:nvSpPr>
            <xdr:cNvPr id="5623" name="Check Box 1527" hidden="1">
              <a:extLst>
                <a:ext uri="{63B3BB69-23CF-44E3-9099-C40C66FF867C}">
                  <a14:compatExt spid="_x0000_s5623"/>
                </a:ext>
                <a:ext uri="{FF2B5EF4-FFF2-40B4-BE49-F238E27FC236}">
                  <a16:creationId xmlns:a16="http://schemas.microsoft.com/office/drawing/2014/main" id="{00000000-0008-0000-0000-0000F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68</xdr:row>
          <xdr:rowOff>38100</xdr:rowOff>
        </xdr:from>
        <xdr:to>
          <xdr:col>15</xdr:col>
          <xdr:colOff>342900</xdr:colOff>
          <xdr:row>68</xdr:row>
          <xdr:rowOff>266700</xdr:rowOff>
        </xdr:to>
        <xdr:sp macro="" textlink="">
          <xdr:nvSpPr>
            <xdr:cNvPr id="5624" name="Check Box 1528" hidden="1">
              <a:extLst>
                <a:ext uri="{63B3BB69-23CF-44E3-9099-C40C66FF867C}">
                  <a14:compatExt spid="_x0000_s5624"/>
                </a:ext>
                <a:ext uri="{FF2B5EF4-FFF2-40B4-BE49-F238E27FC236}">
                  <a16:creationId xmlns:a16="http://schemas.microsoft.com/office/drawing/2014/main" id="{00000000-0008-0000-0000-0000F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68</xdr:row>
          <xdr:rowOff>38100</xdr:rowOff>
        </xdr:from>
        <xdr:to>
          <xdr:col>16</xdr:col>
          <xdr:colOff>342900</xdr:colOff>
          <xdr:row>68</xdr:row>
          <xdr:rowOff>266700</xdr:rowOff>
        </xdr:to>
        <xdr:sp macro="" textlink="">
          <xdr:nvSpPr>
            <xdr:cNvPr id="5625" name="Check Box 1529" hidden="1">
              <a:extLst>
                <a:ext uri="{63B3BB69-23CF-44E3-9099-C40C66FF867C}">
                  <a14:compatExt spid="_x0000_s5625"/>
                </a:ext>
                <a:ext uri="{FF2B5EF4-FFF2-40B4-BE49-F238E27FC236}">
                  <a16:creationId xmlns:a16="http://schemas.microsoft.com/office/drawing/2014/main" id="{00000000-0008-0000-0000-0000F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68</xdr:row>
          <xdr:rowOff>38100</xdr:rowOff>
        </xdr:from>
        <xdr:to>
          <xdr:col>17</xdr:col>
          <xdr:colOff>342900</xdr:colOff>
          <xdr:row>68</xdr:row>
          <xdr:rowOff>266700</xdr:rowOff>
        </xdr:to>
        <xdr:sp macro="" textlink="">
          <xdr:nvSpPr>
            <xdr:cNvPr id="5626" name="Check Box 1530" hidden="1">
              <a:extLst>
                <a:ext uri="{63B3BB69-23CF-44E3-9099-C40C66FF867C}">
                  <a14:compatExt spid="_x0000_s5626"/>
                </a:ext>
                <a:ext uri="{FF2B5EF4-FFF2-40B4-BE49-F238E27FC236}">
                  <a16:creationId xmlns:a16="http://schemas.microsoft.com/office/drawing/2014/main" id="{00000000-0008-0000-0000-0000F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68</xdr:row>
          <xdr:rowOff>38100</xdr:rowOff>
        </xdr:from>
        <xdr:to>
          <xdr:col>18</xdr:col>
          <xdr:colOff>342900</xdr:colOff>
          <xdr:row>68</xdr:row>
          <xdr:rowOff>266700</xdr:rowOff>
        </xdr:to>
        <xdr:sp macro="" textlink="">
          <xdr:nvSpPr>
            <xdr:cNvPr id="5627" name="Check Box 1531" hidden="1">
              <a:extLst>
                <a:ext uri="{63B3BB69-23CF-44E3-9099-C40C66FF867C}">
                  <a14:compatExt spid="_x0000_s5627"/>
                </a:ext>
                <a:ext uri="{FF2B5EF4-FFF2-40B4-BE49-F238E27FC236}">
                  <a16:creationId xmlns:a16="http://schemas.microsoft.com/office/drawing/2014/main" id="{00000000-0008-0000-0000-0000F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68</xdr:row>
          <xdr:rowOff>38100</xdr:rowOff>
        </xdr:from>
        <xdr:to>
          <xdr:col>19</xdr:col>
          <xdr:colOff>342900</xdr:colOff>
          <xdr:row>68</xdr:row>
          <xdr:rowOff>266700</xdr:rowOff>
        </xdr:to>
        <xdr:sp macro="" textlink="">
          <xdr:nvSpPr>
            <xdr:cNvPr id="5628" name="Check Box 1532" hidden="1">
              <a:extLst>
                <a:ext uri="{63B3BB69-23CF-44E3-9099-C40C66FF867C}">
                  <a14:compatExt spid="_x0000_s5628"/>
                </a:ext>
                <a:ext uri="{FF2B5EF4-FFF2-40B4-BE49-F238E27FC236}">
                  <a16:creationId xmlns:a16="http://schemas.microsoft.com/office/drawing/2014/main" id="{00000000-0008-0000-0000-0000F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47625</xdr:colOff>
          <xdr:row>68</xdr:row>
          <xdr:rowOff>38100</xdr:rowOff>
        </xdr:from>
        <xdr:to>
          <xdr:col>20</xdr:col>
          <xdr:colOff>342900</xdr:colOff>
          <xdr:row>68</xdr:row>
          <xdr:rowOff>266700</xdr:rowOff>
        </xdr:to>
        <xdr:sp macro="" textlink="">
          <xdr:nvSpPr>
            <xdr:cNvPr id="5629" name="Check Box 1533" hidden="1">
              <a:extLst>
                <a:ext uri="{63B3BB69-23CF-44E3-9099-C40C66FF867C}">
                  <a14:compatExt spid="_x0000_s5629"/>
                </a:ext>
                <a:ext uri="{FF2B5EF4-FFF2-40B4-BE49-F238E27FC236}">
                  <a16:creationId xmlns:a16="http://schemas.microsoft.com/office/drawing/2014/main" id="{00000000-0008-0000-0000-0000F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68</xdr:row>
          <xdr:rowOff>38100</xdr:rowOff>
        </xdr:from>
        <xdr:to>
          <xdr:col>21</xdr:col>
          <xdr:colOff>342900</xdr:colOff>
          <xdr:row>68</xdr:row>
          <xdr:rowOff>266700</xdr:rowOff>
        </xdr:to>
        <xdr:sp macro="" textlink="">
          <xdr:nvSpPr>
            <xdr:cNvPr id="5630" name="Check Box 1534" hidden="1">
              <a:extLst>
                <a:ext uri="{63B3BB69-23CF-44E3-9099-C40C66FF867C}">
                  <a14:compatExt spid="_x0000_s5630"/>
                </a:ext>
                <a:ext uri="{FF2B5EF4-FFF2-40B4-BE49-F238E27FC236}">
                  <a16:creationId xmlns:a16="http://schemas.microsoft.com/office/drawing/2014/main" id="{00000000-0008-0000-0000-0000F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47625</xdr:colOff>
          <xdr:row>68</xdr:row>
          <xdr:rowOff>38100</xdr:rowOff>
        </xdr:from>
        <xdr:to>
          <xdr:col>22</xdr:col>
          <xdr:colOff>342900</xdr:colOff>
          <xdr:row>68</xdr:row>
          <xdr:rowOff>266700</xdr:rowOff>
        </xdr:to>
        <xdr:sp macro="" textlink="">
          <xdr:nvSpPr>
            <xdr:cNvPr id="5631" name="Check Box 1535" hidden="1">
              <a:extLst>
                <a:ext uri="{63B3BB69-23CF-44E3-9099-C40C66FF867C}">
                  <a14:compatExt spid="_x0000_s5631"/>
                </a:ext>
                <a:ext uri="{FF2B5EF4-FFF2-40B4-BE49-F238E27FC236}">
                  <a16:creationId xmlns:a16="http://schemas.microsoft.com/office/drawing/2014/main" id="{00000000-0008-0000-0000-0000F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47625</xdr:colOff>
          <xdr:row>68</xdr:row>
          <xdr:rowOff>38100</xdr:rowOff>
        </xdr:from>
        <xdr:to>
          <xdr:col>23</xdr:col>
          <xdr:colOff>342900</xdr:colOff>
          <xdr:row>68</xdr:row>
          <xdr:rowOff>266700</xdr:rowOff>
        </xdr:to>
        <xdr:sp macro="" textlink="">
          <xdr:nvSpPr>
            <xdr:cNvPr id="5632" name="Check Box 1536" hidden="1">
              <a:extLst>
                <a:ext uri="{63B3BB69-23CF-44E3-9099-C40C66FF867C}">
                  <a14:compatExt spid="_x0000_s5632"/>
                </a:ext>
                <a:ext uri="{FF2B5EF4-FFF2-40B4-BE49-F238E27FC236}">
                  <a16:creationId xmlns:a16="http://schemas.microsoft.com/office/drawing/2014/main" id="{00000000-0008-0000-0000-00000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68</xdr:row>
          <xdr:rowOff>38100</xdr:rowOff>
        </xdr:from>
        <xdr:to>
          <xdr:col>24</xdr:col>
          <xdr:colOff>342900</xdr:colOff>
          <xdr:row>68</xdr:row>
          <xdr:rowOff>266700</xdr:rowOff>
        </xdr:to>
        <xdr:sp macro="" textlink="">
          <xdr:nvSpPr>
            <xdr:cNvPr id="5633" name="Check Box 1537" hidden="1">
              <a:extLst>
                <a:ext uri="{63B3BB69-23CF-44E3-9099-C40C66FF867C}">
                  <a14:compatExt spid="_x0000_s5633"/>
                </a:ext>
                <a:ext uri="{FF2B5EF4-FFF2-40B4-BE49-F238E27FC236}">
                  <a16:creationId xmlns:a16="http://schemas.microsoft.com/office/drawing/2014/main" id="{00000000-0008-0000-0000-00000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47625</xdr:colOff>
          <xdr:row>68</xdr:row>
          <xdr:rowOff>38100</xdr:rowOff>
        </xdr:from>
        <xdr:to>
          <xdr:col>25</xdr:col>
          <xdr:colOff>342900</xdr:colOff>
          <xdr:row>68</xdr:row>
          <xdr:rowOff>266700</xdr:rowOff>
        </xdr:to>
        <xdr:sp macro="" textlink="">
          <xdr:nvSpPr>
            <xdr:cNvPr id="5634" name="Check Box 1538" hidden="1">
              <a:extLst>
                <a:ext uri="{63B3BB69-23CF-44E3-9099-C40C66FF867C}">
                  <a14:compatExt spid="_x0000_s5634"/>
                </a:ext>
                <a:ext uri="{FF2B5EF4-FFF2-40B4-BE49-F238E27FC236}">
                  <a16:creationId xmlns:a16="http://schemas.microsoft.com/office/drawing/2014/main" id="{00000000-0008-0000-0000-00000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68</xdr:row>
          <xdr:rowOff>38100</xdr:rowOff>
        </xdr:from>
        <xdr:to>
          <xdr:col>26</xdr:col>
          <xdr:colOff>342900</xdr:colOff>
          <xdr:row>68</xdr:row>
          <xdr:rowOff>266700</xdr:rowOff>
        </xdr:to>
        <xdr:sp macro="" textlink="">
          <xdr:nvSpPr>
            <xdr:cNvPr id="5635" name="Check Box 1539" hidden="1">
              <a:extLst>
                <a:ext uri="{63B3BB69-23CF-44E3-9099-C40C66FF867C}">
                  <a14:compatExt spid="_x0000_s5635"/>
                </a:ext>
                <a:ext uri="{FF2B5EF4-FFF2-40B4-BE49-F238E27FC236}">
                  <a16:creationId xmlns:a16="http://schemas.microsoft.com/office/drawing/2014/main" id="{00000000-0008-0000-0000-00000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47625</xdr:colOff>
          <xdr:row>68</xdr:row>
          <xdr:rowOff>38100</xdr:rowOff>
        </xdr:from>
        <xdr:to>
          <xdr:col>27</xdr:col>
          <xdr:colOff>342900</xdr:colOff>
          <xdr:row>68</xdr:row>
          <xdr:rowOff>266700</xdr:rowOff>
        </xdr:to>
        <xdr:sp macro="" textlink="">
          <xdr:nvSpPr>
            <xdr:cNvPr id="5636" name="Check Box 1540" hidden="1">
              <a:extLst>
                <a:ext uri="{63B3BB69-23CF-44E3-9099-C40C66FF867C}">
                  <a14:compatExt spid="_x0000_s5636"/>
                </a:ext>
                <a:ext uri="{FF2B5EF4-FFF2-40B4-BE49-F238E27FC236}">
                  <a16:creationId xmlns:a16="http://schemas.microsoft.com/office/drawing/2014/main" id="{00000000-0008-0000-0000-00000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47625</xdr:colOff>
          <xdr:row>68</xdr:row>
          <xdr:rowOff>38100</xdr:rowOff>
        </xdr:from>
        <xdr:to>
          <xdr:col>28</xdr:col>
          <xdr:colOff>342900</xdr:colOff>
          <xdr:row>68</xdr:row>
          <xdr:rowOff>266700</xdr:rowOff>
        </xdr:to>
        <xdr:sp macro="" textlink="">
          <xdr:nvSpPr>
            <xdr:cNvPr id="5637" name="Check Box 1541" hidden="1">
              <a:extLst>
                <a:ext uri="{63B3BB69-23CF-44E3-9099-C40C66FF867C}">
                  <a14:compatExt spid="_x0000_s5637"/>
                </a:ext>
                <a:ext uri="{FF2B5EF4-FFF2-40B4-BE49-F238E27FC236}">
                  <a16:creationId xmlns:a16="http://schemas.microsoft.com/office/drawing/2014/main" id="{00000000-0008-0000-0000-00000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68</xdr:row>
          <xdr:rowOff>38100</xdr:rowOff>
        </xdr:from>
        <xdr:to>
          <xdr:col>29</xdr:col>
          <xdr:colOff>342900</xdr:colOff>
          <xdr:row>68</xdr:row>
          <xdr:rowOff>266700</xdr:rowOff>
        </xdr:to>
        <xdr:sp macro="" textlink="">
          <xdr:nvSpPr>
            <xdr:cNvPr id="5638" name="Check Box 1542" hidden="1">
              <a:extLst>
                <a:ext uri="{63B3BB69-23CF-44E3-9099-C40C66FF867C}">
                  <a14:compatExt spid="_x0000_s5638"/>
                </a:ext>
                <a:ext uri="{FF2B5EF4-FFF2-40B4-BE49-F238E27FC236}">
                  <a16:creationId xmlns:a16="http://schemas.microsoft.com/office/drawing/2014/main" id="{00000000-0008-0000-0000-00000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68</xdr:row>
          <xdr:rowOff>38100</xdr:rowOff>
        </xdr:from>
        <xdr:to>
          <xdr:col>30</xdr:col>
          <xdr:colOff>342900</xdr:colOff>
          <xdr:row>68</xdr:row>
          <xdr:rowOff>266700</xdr:rowOff>
        </xdr:to>
        <xdr:sp macro="" textlink="">
          <xdr:nvSpPr>
            <xdr:cNvPr id="5639" name="Check Box 1543" hidden="1">
              <a:extLst>
                <a:ext uri="{63B3BB69-23CF-44E3-9099-C40C66FF867C}">
                  <a14:compatExt spid="_x0000_s5639"/>
                </a:ext>
                <a:ext uri="{FF2B5EF4-FFF2-40B4-BE49-F238E27FC236}">
                  <a16:creationId xmlns:a16="http://schemas.microsoft.com/office/drawing/2014/main" id="{00000000-0008-0000-0000-00000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68</xdr:row>
          <xdr:rowOff>38100</xdr:rowOff>
        </xdr:from>
        <xdr:to>
          <xdr:col>31</xdr:col>
          <xdr:colOff>342900</xdr:colOff>
          <xdr:row>68</xdr:row>
          <xdr:rowOff>266700</xdr:rowOff>
        </xdr:to>
        <xdr:sp macro="" textlink="">
          <xdr:nvSpPr>
            <xdr:cNvPr id="5640" name="Check Box 1544" hidden="1">
              <a:extLst>
                <a:ext uri="{63B3BB69-23CF-44E3-9099-C40C66FF867C}">
                  <a14:compatExt spid="_x0000_s5640"/>
                </a:ext>
                <a:ext uri="{FF2B5EF4-FFF2-40B4-BE49-F238E27FC236}">
                  <a16:creationId xmlns:a16="http://schemas.microsoft.com/office/drawing/2014/main" id="{00000000-0008-0000-0000-00000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68</xdr:row>
          <xdr:rowOff>38100</xdr:rowOff>
        </xdr:from>
        <xdr:to>
          <xdr:col>32</xdr:col>
          <xdr:colOff>342900</xdr:colOff>
          <xdr:row>68</xdr:row>
          <xdr:rowOff>266700</xdr:rowOff>
        </xdr:to>
        <xdr:sp macro="" textlink="">
          <xdr:nvSpPr>
            <xdr:cNvPr id="5641" name="Check Box 1545" hidden="1">
              <a:extLst>
                <a:ext uri="{63B3BB69-23CF-44E3-9099-C40C66FF867C}">
                  <a14:compatExt spid="_x0000_s5641"/>
                </a:ext>
                <a:ext uri="{FF2B5EF4-FFF2-40B4-BE49-F238E27FC236}">
                  <a16:creationId xmlns:a16="http://schemas.microsoft.com/office/drawing/2014/main" id="{00000000-0008-0000-0000-00000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47625</xdr:colOff>
          <xdr:row>68</xdr:row>
          <xdr:rowOff>38100</xdr:rowOff>
        </xdr:from>
        <xdr:to>
          <xdr:col>33</xdr:col>
          <xdr:colOff>342900</xdr:colOff>
          <xdr:row>68</xdr:row>
          <xdr:rowOff>266700</xdr:rowOff>
        </xdr:to>
        <xdr:sp macro="" textlink="">
          <xdr:nvSpPr>
            <xdr:cNvPr id="5642" name="Check Box 1546" hidden="1">
              <a:extLst>
                <a:ext uri="{63B3BB69-23CF-44E3-9099-C40C66FF867C}">
                  <a14:compatExt spid="_x0000_s5642"/>
                </a:ext>
                <a:ext uri="{FF2B5EF4-FFF2-40B4-BE49-F238E27FC236}">
                  <a16:creationId xmlns:a16="http://schemas.microsoft.com/office/drawing/2014/main" id="{00000000-0008-0000-0000-00000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</xdr:colOff>
          <xdr:row>68</xdr:row>
          <xdr:rowOff>38100</xdr:rowOff>
        </xdr:from>
        <xdr:to>
          <xdr:col>34</xdr:col>
          <xdr:colOff>342900</xdr:colOff>
          <xdr:row>68</xdr:row>
          <xdr:rowOff>266700</xdr:rowOff>
        </xdr:to>
        <xdr:sp macro="" textlink="">
          <xdr:nvSpPr>
            <xdr:cNvPr id="5643" name="Check Box 1547" hidden="1">
              <a:extLst>
                <a:ext uri="{63B3BB69-23CF-44E3-9099-C40C66FF867C}">
                  <a14:compatExt spid="_x0000_s5643"/>
                </a:ext>
                <a:ext uri="{FF2B5EF4-FFF2-40B4-BE49-F238E27FC236}">
                  <a16:creationId xmlns:a16="http://schemas.microsoft.com/office/drawing/2014/main" id="{00000000-0008-0000-0000-00000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47625</xdr:colOff>
          <xdr:row>68</xdr:row>
          <xdr:rowOff>38100</xdr:rowOff>
        </xdr:from>
        <xdr:to>
          <xdr:col>35</xdr:col>
          <xdr:colOff>342900</xdr:colOff>
          <xdr:row>68</xdr:row>
          <xdr:rowOff>266700</xdr:rowOff>
        </xdr:to>
        <xdr:sp macro="" textlink="">
          <xdr:nvSpPr>
            <xdr:cNvPr id="5644" name="Check Box 1548" hidden="1">
              <a:extLst>
                <a:ext uri="{63B3BB69-23CF-44E3-9099-C40C66FF867C}">
                  <a14:compatExt spid="_x0000_s5644"/>
                </a:ext>
                <a:ext uri="{FF2B5EF4-FFF2-40B4-BE49-F238E27FC236}">
                  <a16:creationId xmlns:a16="http://schemas.microsoft.com/office/drawing/2014/main" id="{00000000-0008-0000-0000-00000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68</xdr:row>
          <xdr:rowOff>38100</xdr:rowOff>
        </xdr:from>
        <xdr:to>
          <xdr:col>36</xdr:col>
          <xdr:colOff>342900</xdr:colOff>
          <xdr:row>68</xdr:row>
          <xdr:rowOff>266700</xdr:rowOff>
        </xdr:to>
        <xdr:sp macro="" textlink="">
          <xdr:nvSpPr>
            <xdr:cNvPr id="5645" name="Check Box 1549" hidden="1">
              <a:extLst>
                <a:ext uri="{63B3BB69-23CF-44E3-9099-C40C66FF867C}">
                  <a14:compatExt spid="_x0000_s5645"/>
                </a:ext>
                <a:ext uri="{FF2B5EF4-FFF2-40B4-BE49-F238E27FC236}">
                  <a16:creationId xmlns:a16="http://schemas.microsoft.com/office/drawing/2014/main" id="{00000000-0008-0000-0000-00000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68</xdr:row>
          <xdr:rowOff>38100</xdr:rowOff>
        </xdr:from>
        <xdr:to>
          <xdr:col>37</xdr:col>
          <xdr:colOff>342900</xdr:colOff>
          <xdr:row>68</xdr:row>
          <xdr:rowOff>266700</xdr:rowOff>
        </xdr:to>
        <xdr:sp macro="" textlink="">
          <xdr:nvSpPr>
            <xdr:cNvPr id="5646" name="Check Box 1550" hidden="1">
              <a:extLst>
                <a:ext uri="{63B3BB69-23CF-44E3-9099-C40C66FF867C}">
                  <a14:compatExt spid="_x0000_s5646"/>
                </a:ext>
                <a:ext uri="{FF2B5EF4-FFF2-40B4-BE49-F238E27FC236}">
                  <a16:creationId xmlns:a16="http://schemas.microsoft.com/office/drawing/2014/main" id="{00000000-0008-0000-0000-00000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0</xdr:colOff>
      <xdr:row>1</xdr:row>
      <xdr:rowOff>1</xdr:rowOff>
    </xdr:from>
    <xdr:to>
      <xdr:col>37</xdr:col>
      <xdr:colOff>537883</xdr:colOff>
      <xdr:row>16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AB650E8D-07CE-4E9D-83C1-B2F8C67A5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537883</xdr:colOff>
      <xdr:row>0</xdr:row>
      <xdr:rowOff>235324</xdr:rowOff>
    </xdr:from>
    <xdr:to>
      <xdr:col>43</xdr:col>
      <xdr:colOff>862853</xdr:colOff>
      <xdr:row>7</xdr:row>
      <xdr:rowOff>224117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6F42F97C-1244-4100-A4E6-FF962EB72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537883</xdr:colOff>
      <xdr:row>7</xdr:row>
      <xdr:rowOff>212911</xdr:rowOff>
    </xdr:from>
    <xdr:to>
      <xdr:col>43</xdr:col>
      <xdr:colOff>861406</xdr:colOff>
      <xdr:row>18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D87FA37A-E71F-4047-BA50-8A4346DAD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ctrlProp" Target="../ctrlProps/ctrlProp1520.xml"/><Relationship Id="rId21" Type="http://schemas.openxmlformats.org/officeDocument/2006/relationships/ctrlProp" Target="../ctrlProps/ctrlProp19.xml"/><Relationship Id="rId170" Type="http://schemas.openxmlformats.org/officeDocument/2006/relationships/ctrlProp" Target="../ctrlProps/ctrlProp168.xml"/><Relationship Id="rId268" Type="http://schemas.openxmlformats.org/officeDocument/2006/relationships/ctrlProp" Target="../ctrlProps/ctrlProp266.xml"/><Relationship Id="rId475" Type="http://schemas.openxmlformats.org/officeDocument/2006/relationships/ctrlProp" Target="../ctrlProps/ctrlProp473.xml"/><Relationship Id="rId682" Type="http://schemas.openxmlformats.org/officeDocument/2006/relationships/ctrlProp" Target="../ctrlProps/ctrlProp680.xml"/><Relationship Id="rId128" Type="http://schemas.openxmlformats.org/officeDocument/2006/relationships/ctrlProp" Target="../ctrlProps/ctrlProp126.xml"/><Relationship Id="rId335" Type="http://schemas.openxmlformats.org/officeDocument/2006/relationships/ctrlProp" Target="../ctrlProps/ctrlProp333.xml"/><Relationship Id="rId542" Type="http://schemas.openxmlformats.org/officeDocument/2006/relationships/ctrlProp" Target="../ctrlProps/ctrlProp540.xml"/><Relationship Id="rId987" Type="http://schemas.openxmlformats.org/officeDocument/2006/relationships/ctrlProp" Target="../ctrlProps/ctrlProp985.xml"/><Relationship Id="rId1172" Type="http://schemas.openxmlformats.org/officeDocument/2006/relationships/ctrlProp" Target="../ctrlProps/ctrlProp1170.xml"/><Relationship Id="rId402" Type="http://schemas.openxmlformats.org/officeDocument/2006/relationships/ctrlProp" Target="../ctrlProps/ctrlProp400.xml"/><Relationship Id="rId847" Type="http://schemas.openxmlformats.org/officeDocument/2006/relationships/ctrlProp" Target="../ctrlProps/ctrlProp845.xml"/><Relationship Id="rId1032" Type="http://schemas.openxmlformats.org/officeDocument/2006/relationships/ctrlProp" Target="../ctrlProps/ctrlProp1030.xml"/><Relationship Id="rId1477" Type="http://schemas.openxmlformats.org/officeDocument/2006/relationships/ctrlProp" Target="../ctrlProps/ctrlProp1475.xml"/><Relationship Id="rId707" Type="http://schemas.openxmlformats.org/officeDocument/2006/relationships/ctrlProp" Target="../ctrlProps/ctrlProp705.xml"/><Relationship Id="rId914" Type="http://schemas.openxmlformats.org/officeDocument/2006/relationships/ctrlProp" Target="../ctrlProps/ctrlProp912.xml"/><Relationship Id="rId1337" Type="http://schemas.openxmlformats.org/officeDocument/2006/relationships/ctrlProp" Target="../ctrlProps/ctrlProp1335.xml"/><Relationship Id="rId1544" Type="http://schemas.openxmlformats.org/officeDocument/2006/relationships/ctrlProp" Target="../ctrlProps/ctrlProp1542.xml"/><Relationship Id="rId43" Type="http://schemas.openxmlformats.org/officeDocument/2006/relationships/ctrlProp" Target="../ctrlProps/ctrlProp41.xml"/><Relationship Id="rId1404" Type="http://schemas.openxmlformats.org/officeDocument/2006/relationships/ctrlProp" Target="../ctrlProps/ctrlProp1402.xml"/><Relationship Id="rId192" Type="http://schemas.openxmlformats.org/officeDocument/2006/relationships/ctrlProp" Target="../ctrlProps/ctrlProp190.xml"/><Relationship Id="rId497" Type="http://schemas.openxmlformats.org/officeDocument/2006/relationships/ctrlProp" Target="../ctrlProps/ctrlProp495.xml"/><Relationship Id="rId357" Type="http://schemas.openxmlformats.org/officeDocument/2006/relationships/ctrlProp" Target="../ctrlProps/ctrlProp355.xml"/><Relationship Id="rId1194" Type="http://schemas.openxmlformats.org/officeDocument/2006/relationships/ctrlProp" Target="../ctrlProps/ctrlProp1192.xml"/><Relationship Id="rId217" Type="http://schemas.openxmlformats.org/officeDocument/2006/relationships/ctrlProp" Target="../ctrlProps/ctrlProp215.xml"/><Relationship Id="rId564" Type="http://schemas.openxmlformats.org/officeDocument/2006/relationships/ctrlProp" Target="../ctrlProps/ctrlProp562.xml"/><Relationship Id="rId771" Type="http://schemas.openxmlformats.org/officeDocument/2006/relationships/ctrlProp" Target="../ctrlProps/ctrlProp769.xml"/><Relationship Id="rId869" Type="http://schemas.openxmlformats.org/officeDocument/2006/relationships/ctrlProp" Target="../ctrlProps/ctrlProp867.xml"/><Relationship Id="rId1499" Type="http://schemas.openxmlformats.org/officeDocument/2006/relationships/ctrlProp" Target="../ctrlProps/ctrlProp1497.xml"/><Relationship Id="rId424" Type="http://schemas.openxmlformats.org/officeDocument/2006/relationships/ctrlProp" Target="../ctrlProps/ctrlProp422.xml"/><Relationship Id="rId631" Type="http://schemas.openxmlformats.org/officeDocument/2006/relationships/ctrlProp" Target="../ctrlProps/ctrlProp629.xml"/><Relationship Id="rId729" Type="http://schemas.openxmlformats.org/officeDocument/2006/relationships/ctrlProp" Target="../ctrlProps/ctrlProp727.xml"/><Relationship Id="rId1054" Type="http://schemas.openxmlformats.org/officeDocument/2006/relationships/ctrlProp" Target="../ctrlProps/ctrlProp1052.xml"/><Relationship Id="rId1261" Type="http://schemas.openxmlformats.org/officeDocument/2006/relationships/ctrlProp" Target="../ctrlProps/ctrlProp1259.xml"/><Relationship Id="rId1359" Type="http://schemas.openxmlformats.org/officeDocument/2006/relationships/ctrlProp" Target="../ctrlProps/ctrlProp1357.xml"/><Relationship Id="rId936" Type="http://schemas.openxmlformats.org/officeDocument/2006/relationships/ctrlProp" Target="../ctrlProps/ctrlProp934.xml"/><Relationship Id="rId1121" Type="http://schemas.openxmlformats.org/officeDocument/2006/relationships/ctrlProp" Target="../ctrlProps/ctrlProp1119.xml"/><Relationship Id="rId1219" Type="http://schemas.openxmlformats.org/officeDocument/2006/relationships/ctrlProp" Target="../ctrlProps/ctrlProp1217.xml"/><Relationship Id="rId65" Type="http://schemas.openxmlformats.org/officeDocument/2006/relationships/ctrlProp" Target="../ctrlProps/ctrlProp63.xml"/><Relationship Id="rId1426" Type="http://schemas.openxmlformats.org/officeDocument/2006/relationships/ctrlProp" Target="../ctrlProps/ctrlProp1424.xml"/><Relationship Id="rId281" Type="http://schemas.openxmlformats.org/officeDocument/2006/relationships/ctrlProp" Target="../ctrlProps/ctrlProp279.xml"/><Relationship Id="rId141" Type="http://schemas.openxmlformats.org/officeDocument/2006/relationships/ctrlProp" Target="../ctrlProps/ctrlProp139.xml"/><Relationship Id="rId379" Type="http://schemas.openxmlformats.org/officeDocument/2006/relationships/ctrlProp" Target="../ctrlProps/ctrlProp377.xml"/><Relationship Id="rId586" Type="http://schemas.openxmlformats.org/officeDocument/2006/relationships/ctrlProp" Target="../ctrlProps/ctrlProp584.xml"/><Relationship Id="rId793" Type="http://schemas.openxmlformats.org/officeDocument/2006/relationships/ctrlProp" Target="../ctrlProps/ctrlProp791.xml"/><Relationship Id="rId7" Type="http://schemas.openxmlformats.org/officeDocument/2006/relationships/ctrlProp" Target="../ctrlProps/ctrlProp5.xml"/><Relationship Id="rId239" Type="http://schemas.openxmlformats.org/officeDocument/2006/relationships/ctrlProp" Target="../ctrlProps/ctrlProp237.xml"/><Relationship Id="rId446" Type="http://schemas.openxmlformats.org/officeDocument/2006/relationships/ctrlProp" Target="../ctrlProps/ctrlProp444.xml"/><Relationship Id="rId653" Type="http://schemas.openxmlformats.org/officeDocument/2006/relationships/ctrlProp" Target="../ctrlProps/ctrlProp651.xml"/><Relationship Id="rId1076" Type="http://schemas.openxmlformats.org/officeDocument/2006/relationships/ctrlProp" Target="../ctrlProps/ctrlProp1074.xml"/><Relationship Id="rId1283" Type="http://schemas.openxmlformats.org/officeDocument/2006/relationships/ctrlProp" Target="../ctrlProps/ctrlProp1281.xml"/><Relationship Id="rId1490" Type="http://schemas.openxmlformats.org/officeDocument/2006/relationships/ctrlProp" Target="../ctrlProps/ctrlProp1488.xml"/><Relationship Id="rId306" Type="http://schemas.openxmlformats.org/officeDocument/2006/relationships/ctrlProp" Target="../ctrlProps/ctrlProp304.xml"/><Relationship Id="rId860" Type="http://schemas.openxmlformats.org/officeDocument/2006/relationships/ctrlProp" Target="../ctrlProps/ctrlProp858.xml"/><Relationship Id="rId958" Type="http://schemas.openxmlformats.org/officeDocument/2006/relationships/ctrlProp" Target="../ctrlProps/ctrlProp956.xml"/><Relationship Id="rId1143" Type="http://schemas.openxmlformats.org/officeDocument/2006/relationships/ctrlProp" Target="../ctrlProps/ctrlProp1141.xml"/><Relationship Id="rId87" Type="http://schemas.openxmlformats.org/officeDocument/2006/relationships/ctrlProp" Target="../ctrlProps/ctrlProp85.xml"/><Relationship Id="rId513" Type="http://schemas.openxmlformats.org/officeDocument/2006/relationships/ctrlProp" Target="../ctrlProps/ctrlProp511.xml"/><Relationship Id="rId720" Type="http://schemas.openxmlformats.org/officeDocument/2006/relationships/ctrlProp" Target="../ctrlProps/ctrlProp718.xml"/><Relationship Id="rId818" Type="http://schemas.openxmlformats.org/officeDocument/2006/relationships/ctrlProp" Target="../ctrlProps/ctrlProp816.xml"/><Relationship Id="rId1350" Type="http://schemas.openxmlformats.org/officeDocument/2006/relationships/ctrlProp" Target="../ctrlProps/ctrlProp1348.xml"/><Relationship Id="rId1448" Type="http://schemas.openxmlformats.org/officeDocument/2006/relationships/ctrlProp" Target="../ctrlProps/ctrlProp1446.xml"/><Relationship Id="rId1003" Type="http://schemas.openxmlformats.org/officeDocument/2006/relationships/ctrlProp" Target="../ctrlProps/ctrlProp1001.xml"/><Relationship Id="rId1210" Type="http://schemas.openxmlformats.org/officeDocument/2006/relationships/ctrlProp" Target="../ctrlProps/ctrlProp1208.xml"/><Relationship Id="rId1308" Type="http://schemas.openxmlformats.org/officeDocument/2006/relationships/ctrlProp" Target="../ctrlProps/ctrlProp1306.xml"/><Relationship Id="rId1515" Type="http://schemas.openxmlformats.org/officeDocument/2006/relationships/ctrlProp" Target="../ctrlProps/ctrlProp1513.xml"/><Relationship Id="rId14" Type="http://schemas.openxmlformats.org/officeDocument/2006/relationships/ctrlProp" Target="../ctrlProps/ctrlProp12.xml"/><Relationship Id="rId163" Type="http://schemas.openxmlformats.org/officeDocument/2006/relationships/ctrlProp" Target="../ctrlProps/ctrlProp161.xml"/><Relationship Id="rId370" Type="http://schemas.openxmlformats.org/officeDocument/2006/relationships/ctrlProp" Target="../ctrlProps/ctrlProp368.xml"/><Relationship Id="rId230" Type="http://schemas.openxmlformats.org/officeDocument/2006/relationships/ctrlProp" Target="../ctrlProps/ctrlProp228.xml"/><Relationship Id="rId468" Type="http://schemas.openxmlformats.org/officeDocument/2006/relationships/ctrlProp" Target="../ctrlProps/ctrlProp466.xml"/><Relationship Id="rId675" Type="http://schemas.openxmlformats.org/officeDocument/2006/relationships/ctrlProp" Target="../ctrlProps/ctrlProp673.xml"/><Relationship Id="rId882" Type="http://schemas.openxmlformats.org/officeDocument/2006/relationships/ctrlProp" Target="../ctrlProps/ctrlProp880.xml"/><Relationship Id="rId1098" Type="http://schemas.openxmlformats.org/officeDocument/2006/relationships/ctrlProp" Target="../ctrlProps/ctrlProp1096.xml"/><Relationship Id="rId328" Type="http://schemas.openxmlformats.org/officeDocument/2006/relationships/ctrlProp" Target="../ctrlProps/ctrlProp326.xml"/><Relationship Id="rId535" Type="http://schemas.openxmlformats.org/officeDocument/2006/relationships/ctrlProp" Target="../ctrlProps/ctrlProp533.xml"/><Relationship Id="rId742" Type="http://schemas.openxmlformats.org/officeDocument/2006/relationships/ctrlProp" Target="../ctrlProps/ctrlProp740.xml"/><Relationship Id="rId1165" Type="http://schemas.openxmlformats.org/officeDocument/2006/relationships/ctrlProp" Target="../ctrlProps/ctrlProp1163.xml"/><Relationship Id="rId1372" Type="http://schemas.openxmlformats.org/officeDocument/2006/relationships/ctrlProp" Target="../ctrlProps/ctrlProp1370.xml"/><Relationship Id="rId602" Type="http://schemas.openxmlformats.org/officeDocument/2006/relationships/ctrlProp" Target="../ctrlProps/ctrlProp600.xml"/><Relationship Id="rId1025" Type="http://schemas.openxmlformats.org/officeDocument/2006/relationships/ctrlProp" Target="../ctrlProps/ctrlProp1023.xml"/><Relationship Id="rId1232" Type="http://schemas.openxmlformats.org/officeDocument/2006/relationships/ctrlProp" Target="../ctrlProps/ctrlProp1230.xml"/><Relationship Id="rId907" Type="http://schemas.openxmlformats.org/officeDocument/2006/relationships/ctrlProp" Target="../ctrlProps/ctrlProp905.xml"/><Relationship Id="rId1537" Type="http://schemas.openxmlformats.org/officeDocument/2006/relationships/ctrlProp" Target="../ctrlProps/ctrlProp1535.xml"/><Relationship Id="rId36" Type="http://schemas.openxmlformats.org/officeDocument/2006/relationships/ctrlProp" Target="../ctrlProps/ctrlProp34.xml"/><Relationship Id="rId185" Type="http://schemas.openxmlformats.org/officeDocument/2006/relationships/ctrlProp" Target="../ctrlProps/ctrlProp183.xml"/><Relationship Id="rId392" Type="http://schemas.openxmlformats.org/officeDocument/2006/relationships/ctrlProp" Target="../ctrlProps/ctrlProp390.xml"/><Relationship Id="rId697" Type="http://schemas.openxmlformats.org/officeDocument/2006/relationships/ctrlProp" Target="../ctrlProps/ctrlProp695.xml"/><Relationship Id="rId252" Type="http://schemas.openxmlformats.org/officeDocument/2006/relationships/ctrlProp" Target="../ctrlProps/ctrlProp250.xml"/><Relationship Id="rId1187" Type="http://schemas.openxmlformats.org/officeDocument/2006/relationships/ctrlProp" Target="../ctrlProps/ctrlProp1185.xml"/><Relationship Id="rId112" Type="http://schemas.openxmlformats.org/officeDocument/2006/relationships/ctrlProp" Target="../ctrlProps/ctrlProp110.xml"/><Relationship Id="rId557" Type="http://schemas.openxmlformats.org/officeDocument/2006/relationships/ctrlProp" Target="../ctrlProps/ctrlProp555.xml"/><Relationship Id="rId764" Type="http://schemas.openxmlformats.org/officeDocument/2006/relationships/ctrlProp" Target="../ctrlProps/ctrlProp762.xml"/><Relationship Id="rId971" Type="http://schemas.openxmlformats.org/officeDocument/2006/relationships/ctrlProp" Target="../ctrlProps/ctrlProp969.xml"/><Relationship Id="rId1394" Type="http://schemas.openxmlformats.org/officeDocument/2006/relationships/ctrlProp" Target="../ctrlProps/ctrlProp1392.xml"/><Relationship Id="rId417" Type="http://schemas.openxmlformats.org/officeDocument/2006/relationships/ctrlProp" Target="../ctrlProps/ctrlProp415.xml"/><Relationship Id="rId624" Type="http://schemas.openxmlformats.org/officeDocument/2006/relationships/ctrlProp" Target="../ctrlProps/ctrlProp622.xml"/><Relationship Id="rId831" Type="http://schemas.openxmlformats.org/officeDocument/2006/relationships/ctrlProp" Target="../ctrlProps/ctrlProp829.xml"/><Relationship Id="rId1047" Type="http://schemas.openxmlformats.org/officeDocument/2006/relationships/ctrlProp" Target="../ctrlProps/ctrlProp1045.xml"/><Relationship Id="rId1254" Type="http://schemas.openxmlformats.org/officeDocument/2006/relationships/ctrlProp" Target="../ctrlProps/ctrlProp1252.xml"/><Relationship Id="rId1461" Type="http://schemas.openxmlformats.org/officeDocument/2006/relationships/ctrlProp" Target="../ctrlProps/ctrlProp1459.xml"/><Relationship Id="rId929" Type="http://schemas.openxmlformats.org/officeDocument/2006/relationships/ctrlProp" Target="../ctrlProps/ctrlProp927.xml"/><Relationship Id="rId1114" Type="http://schemas.openxmlformats.org/officeDocument/2006/relationships/ctrlProp" Target="../ctrlProps/ctrlProp1112.xml"/><Relationship Id="rId1321" Type="http://schemas.openxmlformats.org/officeDocument/2006/relationships/ctrlProp" Target="../ctrlProps/ctrlProp1319.xml"/><Relationship Id="rId58" Type="http://schemas.openxmlformats.org/officeDocument/2006/relationships/ctrlProp" Target="../ctrlProps/ctrlProp56.xml"/><Relationship Id="rId1419" Type="http://schemas.openxmlformats.org/officeDocument/2006/relationships/ctrlProp" Target="../ctrlProps/ctrlProp1417.xml"/><Relationship Id="rId274" Type="http://schemas.openxmlformats.org/officeDocument/2006/relationships/ctrlProp" Target="../ctrlProps/ctrlProp272.xml"/><Relationship Id="rId481" Type="http://schemas.openxmlformats.org/officeDocument/2006/relationships/ctrlProp" Target="../ctrlProps/ctrlProp479.xml"/><Relationship Id="rId134" Type="http://schemas.openxmlformats.org/officeDocument/2006/relationships/ctrlProp" Target="../ctrlProps/ctrlProp132.xml"/><Relationship Id="rId579" Type="http://schemas.openxmlformats.org/officeDocument/2006/relationships/ctrlProp" Target="../ctrlProps/ctrlProp577.xml"/><Relationship Id="rId786" Type="http://schemas.openxmlformats.org/officeDocument/2006/relationships/ctrlProp" Target="../ctrlProps/ctrlProp784.xml"/><Relationship Id="rId993" Type="http://schemas.openxmlformats.org/officeDocument/2006/relationships/ctrlProp" Target="../ctrlProps/ctrlProp991.xml"/><Relationship Id="rId341" Type="http://schemas.openxmlformats.org/officeDocument/2006/relationships/ctrlProp" Target="../ctrlProps/ctrlProp339.xml"/><Relationship Id="rId439" Type="http://schemas.openxmlformats.org/officeDocument/2006/relationships/ctrlProp" Target="../ctrlProps/ctrlProp437.xml"/><Relationship Id="rId646" Type="http://schemas.openxmlformats.org/officeDocument/2006/relationships/ctrlProp" Target="../ctrlProps/ctrlProp644.xml"/><Relationship Id="rId1069" Type="http://schemas.openxmlformats.org/officeDocument/2006/relationships/ctrlProp" Target="../ctrlProps/ctrlProp1067.xml"/><Relationship Id="rId1276" Type="http://schemas.openxmlformats.org/officeDocument/2006/relationships/ctrlProp" Target="../ctrlProps/ctrlProp1274.xml"/><Relationship Id="rId1483" Type="http://schemas.openxmlformats.org/officeDocument/2006/relationships/ctrlProp" Target="../ctrlProps/ctrlProp1481.xml"/><Relationship Id="rId201" Type="http://schemas.openxmlformats.org/officeDocument/2006/relationships/ctrlProp" Target="../ctrlProps/ctrlProp199.xml"/><Relationship Id="rId506" Type="http://schemas.openxmlformats.org/officeDocument/2006/relationships/ctrlProp" Target="../ctrlProps/ctrlProp504.xml"/><Relationship Id="rId853" Type="http://schemas.openxmlformats.org/officeDocument/2006/relationships/ctrlProp" Target="../ctrlProps/ctrlProp851.xml"/><Relationship Id="rId1136" Type="http://schemas.openxmlformats.org/officeDocument/2006/relationships/ctrlProp" Target="../ctrlProps/ctrlProp1134.xml"/><Relationship Id="rId713" Type="http://schemas.openxmlformats.org/officeDocument/2006/relationships/ctrlProp" Target="../ctrlProps/ctrlProp711.xml"/><Relationship Id="rId920" Type="http://schemas.openxmlformats.org/officeDocument/2006/relationships/ctrlProp" Target="../ctrlProps/ctrlProp918.xml"/><Relationship Id="rId1343" Type="http://schemas.openxmlformats.org/officeDocument/2006/relationships/ctrlProp" Target="../ctrlProps/ctrlProp1341.xml"/><Relationship Id="rId1550" Type="http://schemas.openxmlformats.org/officeDocument/2006/relationships/ctrlProp" Target="../ctrlProps/ctrlProp1548.xml"/><Relationship Id="rId1203" Type="http://schemas.openxmlformats.org/officeDocument/2006/relationships/ctrlProp" Target="../ctrlProps/ctrlProp1201.xml"/><Relationship Id="rId1410" Type="http://schemas.openxmlformats.org/officeDocument/2006/relationships/ctrlProp" Target="../ctrlProps/ctrlProp1408.xml"/><Relationship Id="rId1508" Type="http://schemas.openxmlformats.org/officeDocument/2006/relationships/ctrlProp" Target="../ctrlProps/ctrlProp1506.xml"/><Relationship Id="rId296" Type="http://schemas.openxmlformats.org/officeDocument/2006/relationships/ctrlProp" Target="../ctrlProps/ctrlProp294.xml"/><Relationship Id="rId156" Type="http://schemas.openxmlformats.org/officeDocument/2006/relationships/ctrlProp" Target="../ctrlProps/ctrlProp154.xml"/><Relationship Id="rId363" Type="http://schemas.openxmlformats.org/officeDocument/2006/relationships/ctrlProp" Target="../ctrlProps/ctrlProp361.xml"/><Relationship Id="rId570" Type="http://schemas.openxmlformats.org/officeDocument/2006/relationships/ctrlProp" Target="../ctrlProps/ctrlProp568.xml"/><Relationship Id="rId223" Type="http://schemas.openxmlformats.org/officeDocument/2006/relationships/ctrlProp" Target="../ctrlProps/ctrlProp221.xml"/><Relationship Id="rId430" Type="http://schemas.openxmlformats.org/officeDocument/2006/relationships/ctrlProp" Target="../ctrlProps/ctrlProp428.xml"/><Relationship Id="rId668" Type="http://schemas.openxmlformats.org/officeDocument/2006/relationships/ctrlProp" Target="../ctrlProps/ctrlProp666.xml"/><Relationship Id="rId875" Type="http://schemas.openxmlformats.org/officeDocument/2006/relationships/ctrlProp" Target="../ctrlProps/ctrlProp873.xml"/><Relationship Id="rId1060" Type="http://schemas.openxmlformats.org/officeDocument/2006/relationships/ctrlProp" Target="../ctrlProps/ctrlProp1058.xml"/><Relationship Id="rId1298" Type="http://schemas.openxmlformats.org/officeDocument/2006/relationships/ctrlProp" Target="../ctrlProps/ctrlProp1296.xml"/><Relationship Id="rId528" Type="http://schemas.openxmlformats.org/officeDocument/2006/relationships/ctrlProp" Target="../ctrlProps/ctrlProp526.xml"/><Relationship Id="rId735" Type="http://schemas.openxmlformats.org/officeDocument/2006/relationships/ctrlProp" Target="../ctrlProps/ctrlProp733.xml"/><Relationship Id="rId942" Type="http://schemas.openxmlformats.org/officeDocument/2006/relationships/ctrlProp" Target="../ctrlProps/ctrlProp940.xml"/><Relationship Id="rId1158" Type="http://schemas.openxmlformats.org/officeDocument/2006/relationships/ctrlProp" Target="../ctrlProps/ctrlProp1156.xml"/><Relationship Id="rId1365" Type="http://schemas.openxmlformats.org/officeDocument/2006/relationships/ctrlProp" Target="../ctrlProps/ctrlProp1363.xml"/><Relationship Id="rId1018" Type="http://schemas.openxmlformats.org/officeDocument/2006/relationships/ctrlProp" Target="../ctrlProps/ctrlProp1016.xml"/><Relationship Id="rId1225" Type="http://schemas.openxmlformats.org/officeDocument/2006/relationships/ctrlProp" Target="../ctrlProps/ctrlProp1223.xml"/><Relationship Id="rId1432" Type="http://schemas.openxmlformats.org/officeDocument/2006/relationships/ctrlProp" Target="../ctrlProps/ctrlProp1430.xml"/><Relationship Id="rId71" Type="http://schemas.openxmlformats.org/officeDocument/2006/relationships/ctrlProp" Target="../ctrlProps/ctrlProp69.xml"/><Relationship Id="rId802" Type="http://schemas.openxmlformats.org/officeDocument/2006/relationships/ctrlProp" Target="../ctrlProps/ctrlProp800.xml"/><Relationship Id="rId29" Type="http://schemas.openxmlformats.org/officeDocument/2006/relationships/ctrlProp" Target="../ctrlProps/ctrlProp27.xml"/><Relationship Id="rId178" Type="http://schemas.openxmlformats.org/officeDocument/2006/relationships/ctrlProp" Target="../ctrlProps/ctrlProp176.xml"/><Relationship Id="rId385" Type="http://schemas.openxmlformats.org/officeDocument/2006/relationships/ctrlProp" Target="../ctrlProps/ctrlProp383.xml"/><Relationship Id="rId592" Type="http://schemas.openxmlformats.org/officeDocument/2006/relationships/ctrlProp" Target="../ctrlProps/ctrlProp590.xml"/><Relationship Id="rId245" Type="http://schemas.openxmlformats.org/officeDocument/2006/relationships/ctrlProp" Target="../ctrlProps/ctrlProp243.xml"/><Relationship Id="rId452" Type="http://schemas.openxmlformats.org/officeDocument/2006/relationships/ctrlProp" Target="../ctrlProps/ctrlProp450.xml"/><Relationship Id="rId897" Type="http://schemas.openxmlformats.org/officeDocument/2006/relationships/ctrlProp" Target="../ctrlProps/ctrlProp895.xml"/><Relationship Id="rId1082" Type="http://schemas.openxmlformats.org/officeDocument/2006/relationships/ctrlProp" Target="../ctrlProps/ctrlProp1080.xml"/><Relationship Id="rId105" Type="http://schemas.openxmlformats.org/officeDocument/2006/relationships/ctrlProp" Target="../ctrlProps/ctrlProp103.xml"/><Relationship Id="rId312" Type="http://schemas.openxmlformats.org/officeDocument/2006/relationships/ctrlProp" Target="../ctrlProps/ctrlProp310.xml"/><Relationship Id="rId757" Type="http://schemas.openxmlformats.org/officeDocument/2006/relationships/ctrlProp" Target="../ctrlProps/ctrlProp755.xml"/><Relationship Id="rId964" Type="http://schemas.openxmlformats.org/officeDocument/2006/relationships/ctrlProp" Target="../ctrlProps/ctrlProp962.xml"/><Relationship Id="rId1387" Type="http://schemas.openxmlformats.org/officeDocument/2006/relationships/ctrlProp" Target="../ctrlProps/ctrlProp1385.xml"/><Relationship Id="rId93" Type="http://schemas.openxmlformats.org/officeDocument/2006/relationships/ctrlProp" Target="../ctrlProps/ctrlProp91.xml"/><Relationship Id="rId617" Type="http://schemas.openxmlformats.org/officeDocument/2006/relationships/ctrlProp" Target="../ctrlProps/ctrlProp615.xml"/><Relationship Id="rId824" Type="http://schemas.openxmlformats.org/officeDocument/2006/relationships/ctrlProp" Target="../ctrlProps/ctrlProp822.xml"/><Relationship Id="rId1247" Type="http://schemas.openxmlformats.org/officeDocument/2006/relationships/ctrlProp" Target="../ctrlProps/ctrlProp1245.xml"/><Relationship Id="rId1454" Type="http://schemas.openxmlformats.org/officeDocument/2006/relationships/ctrlProp" Target="../ctrlProps/ctrlProp1452.xml"/><Relationship Id="rId1107" Type="http://schemas.openxmlformats.org/officeDocument/2006/relationships/ctrlProp" Target="../ctrlProps/ctrlProp1105.xml"/><Relationship Id="rId1314" Type="http://schemas.openxmlformats.org/officeDocument/2006/relationships/ctrlProp" Target="../ctrlProps/ctrlProp1312.xml"/><Relationship Id="rId1521" Type="http://schemas.openxmlformats.org/officeDocument/2006/relationships/ctrlProp" Target="../ctrlProps/ctrlProp1519.xml"/><Relationship Id="rId20" Type="http://schemas.openxmlformats.org/officeDocument/2006/relationships/ctrlProp" Target="../ctrlProps/ctrlProp18.xml"/><Relationship Id="rId267" Type="http://schemas.openxmlformats.org/officeDocument/2006/relationships/ctrlProp" Target="../ctrlProps/ctrlProp265.xml"/><Relationship Id="rId474" Type="http://schemas.openxmlformats.org/officeDocument/2006/relationships/ctrlProp" Target="../ctrlProps/ctrlProp472.xml"/><Relationship Id="rId127" Type="http://schemas.openxmlformats.org/officeDocument/2006/relationships/ctrlProp" Target="../ctrlProps/ctrlProp125.xml"/><Relationship Id="rId681" Type="http://schemas.openxmlformats.org/officeDocument/2006/relationships/ctrlProp" Target="../ctrlProps/ctrlProp679.xml"/><Relationship Id="rId779" Type="http://schemas.openxmlformats.org/officeDocument/2006/relationships/ctrlProp" Target="../ctrlProps/ctrlProp777.xml"/><Relationship Id="rId986" Type="http://schemas.openxmlformats.org/officeDocument/2006/relationships/ctrlProp" Target="../ctrlProps/ctrlProp984.xml"/><Relationship Id="rId334" Type="http://schemas.openxmlformats.org/officeDocument/2006/relationships/ctrlProp" Target="../ctrlProps/ctrlProp332.xml"/><Relationship Id="rId541" Type="http://schemas.openxmlformats.org/officeDocument/2006/relationships/ctrlProp" Target="../ctrlProps/ctrlProp539.xml"/><Relationship Id="rId639" Type="http://schemas.openxmlformats.org/officeDocument/2006/relationships/ctrlProp" Target="../ctrlProps/ctrlProp637.xml"/><Relationship Id="rId1171" Type="http://schemas.openxmlformats.org/officeDocument/2006/relationships/ctrlProp" Target="../ctrlProps/ctrlProp1169.xml"/><Relationship Id="rId1269" Type="http://schemas.openxmlformats.org/officeDocument/2006/relationships/ctrlProp" Target="../ctrlProps/ctrlProp1267.xml"/><Relationship Id="rId1476" Type="http://schemas.openxmlformats.org/officeDocument/2006/relationships/ctrlProp" Target="../ctrlProps/ctrlProp1474.xml"/><Relationship Id="rId401" Type="http://schemas.openxmlformats.org/officeDocument/2006/relationships/ctrlProp" Target="../ctrlProps/ctrlProp399.xml"/><Relationship Id="rId846" Type="http://schemas.openxmlformats.org/officeDocument/2006/relationships/ctrlProp" Target="../ctrlProps/ctrlProp844.xml"/><Relationship Id="rId1031" Type="http://schemas.openxmlformats.org/officeDocument/2006/relationships/ctrlProp" Target="../ctrlProps/ctrlProp1029.xml"/><Relationship Id="rId1129" Type="http://schemas.openxmlformats.org/officeDocument/2006/relationships/ctrlProp" Target="../ctrlProps/ctrlProp1127.xml"/><Relationship Id="rId706" Type="http://schemas.openxmlformats.org/officeDocument/2006/relationships/ctrlProp" Target="../ctrlProps/ctrlProp704.xml"/><Relationship Id="rId913" Type="http://schemas.openxmlformats.org/officeDocument/2006/relationships/ctrlProp" Target="../ctrlProps/ctrlProp911.xml"/><Relationship Id="rId1336" Type="http://schemas.openxmlformats.org/officeDocument/2006/relationships/ctrlProp" Target="../ctrlProps/ctrlProp1334.xml"/><Relationship Id="rId1543" Type="http://schemas.openxmlformats.org/officeDocument/2006/relationships/ctrlProp" Target="../ctrlProps/ctrlProp1541.xml"/><Relationship Id="rId42" Type="http://schemas.openxmlformats.org/officeDocument/2006/relationships/ctrlProp" Target="../ctrlProps/ctrlProp40.xml"/><Relationship Id="rId1403" Type="http://schemas.openxmlformats.org/officeDocument/2006/relationships/ctrlProp" Target="../ctrlProps/ctrlProp1401.xml"/><Relationship Id="rId191" Type="http://schemas.openxmlformats.org/officeDocument/2006/relationships/ctrlProp" Target="../ctrlProps/ctrlProp189.xml"/><Relationship Id="rId289" Type="http://schemas.openxmlformats.org/officeDocument/2006/relationships/ctrlProp" Target="../ctrlProps/ctrlProp287.xml"/><Relationship Id="rId496" Type="http://schemas.openxmlformats.org/officeDocument/2006/relationships/ctrlProp" Target="../ctrlProps/ctrlProp494.xml"/><Relationship Id="rId149" Type="http://schemas.openxmlformats.org/officeDocument/2006/relationships/ctrlProp" Target="../ctrlProps/ctrlProp147.xml"/><Relationship Id="rId356" Type="http://schemas.openxmlformats.org/officeDocument/2006/relationships/ctrlProp" Target="../ctrlProps/ctrlProp354.xml"/><Relationship Id="rId563" Type="http://schemas.openxmlformats.org/officeDocument/2006/relationships/ctrlProp" Target="../ctrlProps/ctrlProp561.xml"/><Relationship Id="rId770" Type="http://schemas.openxmlformats.org/officeDocument/2006/relationships/ctrlProp" Target="../ctrlProps/ctrlProp768.xml"/><Relationship Id="rId1193" Type="http://schemas.openxmlformats.org/officeDocument/2006/relationships/ctrlProp" Target="../ctrlProps/ctrlProp1191.xml"/><Relationship Id="rId216" Type="http://schemas.openxmlformats.org/officeDocument/2006/relationships/ctrlProp" Target="../ctrlProps/ctrlProp214.xml"/><Relationship Id="rId423" Type="http://schemas.openxmlformats.org/officeDocument/2006/relationships/ctrlProp" Target="../ctrlProps/ctrlProp421.xml"/><Relationship Id="rId868" Type="http://schemas.openxmlformats.org/officeDocument/2006/relationships/ctrlProp" Target="../ctrlProps/ctrlProp866.xml"/><Relationship Id="rId1053" Type="http://schemas.openxmlformats.org/officeDocument/2006/relationships/ctrlProp" Target="../ctrlProps/ctrlProp1051.xml"/><Relationship Id="rId1260" Type="http://schemas.openxmlformats.org/officeDocument/2006/relationships/ctrlProp" Target="../ctrlProps/ctrlProp1258.xml"/><Relationship Id="rId1498" Type="http://schemas.openxmlformats.org/officeDocument/2006/relationships/ctrlProp" Target="../ctrlProps/ctrlProp1496.xml"/><Relationship Id="rId630" Type="http://schemas.openxmlformats.org/officeDocument/2006/relationships/ctrlProp" Target="../ctrlProps/ctrlProp628.xml"/><Relationship Id="rId728" Type="http://schemas.openxmlformats.org/officeDocument/2006/relationships/ctrlProp" Target="../ctrlProps/ctrlProp726.xml"/><Relationship Id="rId935" Type="http://schemas.openxmlformats.org/officeDocument/2006/relationships/ctrlProp" Target="../ctrlProps/ctrlProp933.xml"/><Relationship Id="rId1358" Type="http://schemas.openxmlformats.org/officeDocument/2006/relationships/ctrlProp" Target="../ctrlProps/ctrlProp1356.xml"/><Relationship Id="rId64" Type="http://schemas.openxmlformats.org/officeDocument/2006/relationships/ctrlProp" Target="../ctrlProps/ctrlProp62.xml"/><Relationship Id="rId1120" Type="http://schemas.openxmlformats.org/officeDocument/2006/relationships/ctrlProp" Target="../ctrlProps/ctrlProp1118.xml"/><Relationship Id="rId1218" Type="http://schemas.openxmlformats.org/officeDocument/2006/relationships/ctrlProp" Target="../ctrlProps/ctrlProp1216.xml"/><Relationship Id="rId1425" Type="http://schemas.openxmlformats.org/officeDocument/2006/relationships/ctrlProp" Target="../ctrlProps/ctrlProp1423.xml"/><Relationship Id="rId280" Type="http://schemas.openxmlformats.org/officeDocument/2006/relationships/ctrlProp" Target="../ctrlProps/ctrlProp278.xml"/><Relationship Id="rId140" Type="http://schemas.openxmlformats.org/officeDocument/2006/relationships/ctrlProp" Target="../ctrlProps/ctrlProp138.xml"/><Relationship Id="rId378" Type="http://schemas.openxmlformats.org/officeDocument/2006/relationships/ctrlProp" Target="../ctrlProps/ctrlProp376.xml"/><Relationship Id="rId585" Type="http://schemas.openxmlformats.org/officeDocument/2006/relationships/ctrlProp" Target="../ctrlProps/ctrlProp583.xml"/><Relationship Id="rId792" Type="http://schemas.openxmlformats.org/officeDocument/2006/relationships/ctrlProp" Target="../ctrlProps/ctrlProp790.xml"/><Relationship Id="rId6" Type="http://schemas.openxmlformats.org/officeDocument/2006/relationships/ctrlProp" Target="../ctrlProps/ctrlProp4.xml"/><Relationship Id="rId238" Type="http://schemas.openxmlformats.org/officeDocument/2006/relationships/ctrlProp" Target="../ctrlProps/ctrlProp236.xml"/><Relationship Id="rId445" Type="http://schemas.openxmlformats.org/officeDocument/2006/relationships/ctrlProp" Target="../ctrlProps/ctrlProp443.xml"/><Relationship Id="rId652" Type="http://schemas.openxmlformats.org/officeDocument/2006/relationships/ctrlProp" Target="../ctrlProps/ctrlProp650.xml"/><Relationship Id="rId1075" Type="http://schemas.openxmlformats.org/officeDocument/2006/relationships/ctrlProp" Target="../ctrlProps/ctrlProp1073.xml"/><Relationship Id="rId1282" Type="http://schemas.openxmlformats.org/officeDocument/2006/relationships/ctrlProp" Target="../ctrlProps/ctrlProp1280.xml"/><Relationship Id="rId305" Type="http://schemas.openxmlformats.org/officeDocument/2006/relationships/ctrlProp" Target="../ctrlProps/ctrlProp303.xml"/><Relationship Id="rId512" Type="http://schemas.openxmlformats.org/officeDocument/2006/relationships/ctrlProp" Target="../ctrlProps/ctrlProp510.xml"/><Relationship Id="rId957" Type="http://schemas.openxmlformats.org/officeDocument/2006/relationships/ctrlProp" Target="../ctrlProps/ctrlProp955.xml"/><Relationship Id="rId1142" Type="http://schemas.openxmlformats.org/officeDocument/2006/relationships/ctrlProp" Target="../ctrlProps/ctrlProp1140.xml"/><Relationship Id="rId86" Type="http://schemas.openxmlformats.org/officeDocument/2006/relationships/ctrlProp" Target="../ctrlProps/ctrlProp84.xml"/><Relationship Id="rId817" Type="http://schemas.openxmlformats.org/officeDocument/2006/relationships/ctrlProp" Target="../ctrlProps/ctrlProp815.xml"/><Relationship Id="rId1002" Type="http://schemas.openxmlformats.org/officeDocument/2006/relationships/ctrlProp" Target="../ctrlProps/ctrlProp1000.xml"/><Relationship Id="rId1447" Type="http://schemas.openxmlformats.org/officeDocument/2006/relationships/ctrlProp" Target="../ctrlProps/ctrlProp1445.xml"/><Relationship Id="rId1307" Type="http://schemas.openxmlformats.org/officeDocument/2006/relationships/ctrlProp" Target="../ctrlProps/ctrlProp1305.xml"/><Relationship Id="rId1514" Type="http://schemas.openxmlformats.org/officeDocument/2006/relationships/ctrlProp" Target="../ctrlProps/ctrlProp1512.xml"/><Relationship Id="rId13" Type="http://schemas.openxmlformats.org/officeDocument/2006/relationships/ctrlProp" Target="../ctrlProps/ctrlProp11.xml"/><Relationship Id="rId162" Type="http://schemas.openxmlformats.org/officeDocument/2006/relationships/ctrlProp" Target="../ctrlProps/ctrlProp160.xml"/><Relationship Id="rId467" Type="http://schemas.openxmlformats.org/officeDocument/2006/relationships/ctrlProp" Target="../ctrlProps/ctrlProp465.xml"/><Relationship Id="rId1097" Type="http://schemas.openxmlformats.org/officeDocument/2006/relationships/ctrlProp" Target="../ctrlProps/ctrlProp1095.xml"/><Relationship Id="rId674" Type="http://schemas.openxmlformats.org/officeDocument/2006/relationships/ctrlProp" Target="../ctrlProps/ctrlProp672.xml"/><Relationship Id="rId881" Type="http://schemas.openxmlformats.org/officeDocument/2006/relationships/ctrlProp" Target="../ctrlProps/ctrlProp879.xml"/><Relationship Id="rId979" Type="http://schemas.openxmlformats.org/officeDocument/2006/relationships/ctrlProp" Target="../ctrlProps/ctrlProp977.xml"/><Relationship Id="rId327" Type="http://schemas.openxmlformats.org/officeDocument/2006/relationships/ctrlProp" Target="../ctrlProps/ctrlProp325.xml"/><Relationship Id="rId534" Type="http://schemas.openxmlformats.org/officeDocument/2006/relationships/ctrlProp" Target="../ctrlProps/ctrlProp532.xml"/><Relationship Id="rId741" Type="http://schemas.openxmlformats.org/officeDocument/2006/relationships/ctrlProp" Target="../ctrlProps/ctrlProp739.xml"/><Relationship Id="rId839" Type="http://schemas.openxmlformats.org/officeDocument/2006/relationships/ctrlProp" Target="../ctrlProps/ctrlProp837.xml"/><Relationship Id="rId1164" Type="http://schemas.openxmlformats.org/officeDocument/2006/relationships/ctrlProp" Target="../ctrlProps/ctrlProp1162.xml"/><Relationship Id="rId1371" Type="http://schemas.openxmlformats.org/officeDocument/2006/relationships/ctrlProp" Target="../ctrlProps/ctrlProp1369.xml"/><Relationship Id="rId1469" Type="http://schemas.openxmlformats.org/officeDocument/2006/relationships/ctrlProp" Target="../ctrlProps/ctrlProp1467.xml"/><Relationship Id="rId601" Type="http://schemas.openxmlformats.org/officeDocument/2006/relationships/ctrlProp" Target="../ctrlProps/ctrlProp599.xml"/><Relationship Id="rId1024" Type="http://schemas.openxmlformats.org/officeDocument/2006/relationships/ctrlProp" Target="../ctrlProps/ctrlProp1022.xml"/><Relationship Id="rId1231" Type="http://schemas.openxmlformats.org/officeDocument/2006/relationships/ctrlProp" Target="../ctrlProps/ctrlProp1229.xml"/><Relationship Id="rId906" Type="http://schemas.openxmlformats.org/officeDocument/2006/relationships/ctrlProp" Target="../ctrlProps/ctrlProp904.xml"/><Relationship Id="rId1329" Type="http://schemas.openxmlformats.org/officeDocument/2006/relationships/ctrlProp" Target="../ctrlProps/ctrlProp1327.xml"/><Relationship Id="rId1536" Type="http://schemas.openxmlformats.org/officeDocument/2006/relationships/ctrlProp" Target="../ctrlProps/ctrlProp1534.xml"/><Relationship Id="rId35" Type="http://schemas.openxmlformats.org/officeDocument/2006/relationships/ctrlProp" Target="../ctrlProps/ctrlProp33.xml"/><Relationship Id="rId184" Type="http://schemas.openxmlformats.org/officeDocument/2006/relationships/ctrlProp" Target="../ctrlProps/ctrlProp182.xml"/><Relationship Id="rId391" Type="http://schemas.openxmlformats.org/officeDocument/2006/relationships/ctrlProp" Target="../ctrlProps/ctrlProp389.xml"/><Relationship Id="rId251" Type="http://schemas.openxmlformats.org/officeDocument/2006/relationships/ctrlProp" Target="../ctrlProps/ctrlProp249.xml"/><Relationship Id="rId489" Type="http://schemas.openxmlformats.org/officeDocument/2006/relationships/ctrlProp" Target="../ctrlProps/ctrlProp487.xml"/><Relationship Id="rId696" Type="http://schemas.openxmlformats.org/officeDocument/2006/relationships/ctrlProp" Target="../ctrlProps/ctrlProp694.xml"/><Relationship Id="rId349" Type="http://schemas.openxmlformats.org/officeDocument/2006/relationships/ctrlProp" Target="../ctrlProps/ctrlProp347.xml"/><Relationship Id="rId556" Type="http://schemas.openxmlformats.org/officeDocument/2006/relationships/ctrlProp" Target="../ctrlProps/ctrlProp554.xml"/><Relationship Id="rId763" Type="http://schemas.openxmlformats.org/officeDocument/2006/relationships/ctrlProp" Target="../ctrlProps/ctrlProp761.xml"/><Relationship Id="rId1186" Type="http://schemas.openxmlformats.org/officeDocument/2006/relationships/ctrlProp" Target="../ctrlProps/ctrlProp1184.xml"/><Relationship Id="rId1393" Type="http://schemas.openxmlformats.org/officeDocument/2006/relationships/ctrlProp" Target="../ctrlProps/ctrlProp1391.xml"/><Relationship Id="rId111" Type="http://schemas.openxmlformats.org/officeDocument/2006/relationships/ctrlProp" Target="../ctrlProps/ctrlProp109.xml"/><Relationship Id="rId209" Type="http://schemas.openxmlformats.org/officeDocument/2006/relationships/ctrlProp" Target="../ctrlProps/ctrlProp207.xml"/><Relationship Id="rId416" Type="http://schemas.openxmlformats.org/officeDocument/2006/relationships/ctrlProp" Target="../ctrlProps/ctrlProp414.xml"/><Relationship Id="rId970" Type="http://schemas.openxmlformats.org/officeDocument/2006/relationships/ctrlProp" Target="../ctrlProps/ctrlProp968.xml"/><Relationship Id="rId1046" Type="http://schemas.openxmlformats.org/officeDocument/2006/relationships/ctrlProp" Target="../ctrlProps/ctrlProp1044.xml"/><Relationship Id="rId1253" Type="http://schemas.openxmlformats.org/officeDocument/2006/relationships/ctrlProp" Target="../ctrlProps/ctrlProp1251.xml"/><Relationship Id="rId623" Type="http://schemas.openxmlformats.org/officeDocument/2006/relationships/ctrlProp" Target="../ctrlProps/ctrlProp621.xml"/><Relationship Id="rId830" Type="http://schemas.openxmlformats.org/officeDocument/2006/relationships/ctrlProp" Target="../ctrlProps/ctrlProp828.xml"/><Relationship Id="rId928" Type="http://schemas.openxmlformats.org/officeDocument/2006/relationships/ctrlProp" Target="../ctrlProps/ctrlProp926.xml"/><Relationship Id="rId1460" Type="http://schemas.openxmlformats.org/officeDocument/2006/relationships/ctrlProp" Target="../ctrlProps/ctrlProp1458.xml"/><Relationship Id="rId57" Type="http://schemas.openxmlformats.org/officeDocument/2006/relationships/ctrlProp" Target="../ctrlProps/ctrlProp55.xml"/><Relationship Id="rId1113" Type="http://schemas.openxmlformats.org/officeDocument/2006/relationships/ctrlProp" Target="../ctrlProps/ctrlProp1111.xml"/><Relationship Id="rId1320" Type="http://schemas.openxmlformats.org/officeDocument/2006/relationships/ctrlProp" Target="../ctrlProps/ctrlProp1318.xml"/><Relationship Id="rId1418" Type="http://schemas.openxmlformats.org/officeDocument/2006/relationships/ctrlProp" Target="../ctrlProps/ctrlProp1416.xml"/><Relationship Id="rId273" Type="http://schemas.openxmlformats.org/officeDocument/2006/relationships/ctrlProp" Target="../ctrlProps/ctrlProp271.xml"/><Relationship Id="rId480" Type="http://schemas.openxmlformats.org/officeDocument/2006/relationships/ctrlProp" Target="../ctrlProps/ctrlProp478.xml"/><Relationship Id="rId133" Type="http://schemas.openxmlformats.org/officeDocument/2006/relationships/ctrlProp" Target="../ctrlProps/ctrlProp131.xml"/><Relationship Id="rId340" Type="http://schemas.openxmlformats.org/officeDocument/2006/relationships/ctrlProp" Target="../ctrlProps/ctrlProp338.xml"/><Relationship Id="rId578" Type="http://schemas.openxmlformats.org/officeDocument/2006/relationships/ctrlProp" Target="../ctrlProps/ctrlProp576.xml"/><Relationship Id="rId785" Type="http://schemas.openxmlformats.org/officeDocument/2006/relationships/ctrlProp" Target="../ctrlProps/ctrlProp783.xml"/><Relationship Id="rId992" Type="http://schemas.openxmlformats.org/officeDocument/2006/relationships/ctrlProp" Target="../ctrlProps/ctrlProp990.xml"/><Relationship Id="rId200" Type="http://schemas.openxmlformats.org/officeDocument/2006/relationships/ctrlProp" Target="../ctrlProps/ctrlProp198.xml"/><Relationship Id="rId438" Type="http://schemas.openxmlformats.org/officeDocument/2006/relationships/ctrlProp" Target="../ctrlProps/ctrlProp436.xml"/><Relationship Id="rId645" Type="http://schemas.openxmlformats.org/officeDocument/2006/relationships/ctrlProp" Target="../ctrlProps/ctrlProp643.xml"/><Relationship Id="rId852" Type="http://schemas.openxmlformats.org/officeDocument/2006/relationships/ctrlProp" Target="../ctrlProps/ctrlProp850.xml"/><Relationship Id="rId1068" Type="http://schemas.openxmlformats.org/officeDocument/2006/relationships/ctrlProp" Target="../ctrlProps/ctrlProp1066.xml"/><Relationship Id="rId1275" Type="http://schemas.openxmlformats.org/officeDocument/2006/relationships/ctrlProp" Target="../ctrlProps/ctrlProp1273.xml"/><Relationship Id="rId1482" Type="http://schemas.openxmlformats.org/officeDocument/2006/relationships/ctrlProp" Target="../ctrlProps/ctrlProp1480.xml"/><Relationship Id="rId505" Type="http://schemas.openxmlformats.org/officeDocument/2006/relationships/ctrlProp" Target="../ctrlProps/ctrlProp503.xml"/><Relationship Id="rId712" Type="http://schemas.openxmlformats.org/officeDocument/2006/relationships/ctrlProp" Target="../ctrlProps/ctrlProp710.xml"/><Relationship Id="rId1135" Type="http://schemas.openxmlformats.org/officeDocument/2006/relationships/ctrlProp" Target="../ctrlProps/ctrlProp1133.xml"/><Relationship Id="rId1342" Type="http://schemas.openxmlformats.org/officeDocument/2006/relationships/ctrlProp" Target="../ctrlProps/ctrlProp1340.xml"/><Relationship Id="rId79" Type="http://schemas.openxmlformats.org/officeDocument/2006/relationships/ctrlProp" Target="../ctrlProps/ctrlProp77.xml"/><Relationship Id="rId1202" Type="http://schemas.openxmlformats.org/officeDocument/2006/relationships/ctrlProp" Target="../ctrlProps/ctrlProp1200.xml"/><Relationship Id="rId1507" Type="http://schemas.openxmlformats.org/officeDocument/2006/relationships/ctrlProp" Target="../ctrlProps/ctrlProp1505.xml"/><Relationship Id="rId295" Type="http://schemas.openxmlformats.org/officeDocument/2006/relationships/ctrlProp" Target="../ctrlProps/ctrlProp293.xml"/><Relationship Id="rId155" Type="http://schemas.openxmlformats.org/officeDocument/2006/relationships/ctrlProp" Target="../ctrlProps/ctrlProp153.xml"/><Relationship Id="rId362" Type="http://schemas.openxmlformats.org/officeDocument/2006/relationships/ctrlProp" Target="../ctrlProps/ctrlProp360.xml"/><Relationship Id="rId1297" Type="http://schemas.openxmlformats.org/officeDocument/2006/relationships/ctrlProp" Target="../ctrlProps/ctrlProp1295.xml"/><Relationship Id="rId222" Type="http://schemas.openxmlformats.org/officeDocument/2006/relationships/ctrlProp" Target="../ctrlProps/ctrlProp220.xml"/><Relationship Id="rId667" Type="http://schemas.openxmlformats.org/officeDocument/2006/relationships/ctrlProp" Target="../ctrlProps/ctrlProp665.xml"/><Relationship Id="rId874" Type="http://schemas.openxmlformats.org/officeDocument/2006/relationships/ctrlProp" Target="../ctrlProps/ctrlProp872.xml"/><Relationship Id="rId527" Type="http://schemas.openxmlformats.org/officeDocument/2006/relationships/ctrlProp" Target="../ctrlProps/ctrlProp525.xml"/><Relationship Id="rId734" Type="http://schemas.openxmlformats.org/officeDocument/2006/relationships/ctrlProp" Target="../ctrlProps/ctrlProp732.xml"/><Relationship Id="rId941" Type="http://schemas.openxmlformats.org/officeDocument/2006/relationships/ctrlProp" Target="../ctrlProps/ctrlProp939.xml"/><Relationship Id="rId1157" Type="http://schemas.openxmlformats.org/officeDocument/2006/relationships/ctrlProp" Target="../ctrlProps/ctrlProp1155.xml"/><Relationship Id="rId1364" Type="http://schemas.openxmlformats.org/officeDocument/2006/relationships/ctrlProp" Target="../ctrlProps/ctrlProp1362.xml"/><Relationship Id="rId70" Type="http://schemas.openxmlformats.org/officeDocument/2006/relationships/ctrlProp" Target="../ctrlProps/ctrlProp68.xml"/><Relationship Id="rId801" Type="http://schemas.openxmlformats.org/officeDocument/2006/relationships/ctrlProp" Target="../ctrlProps/ctrlProp799.xml"/><Relationship Id="rId1017" Type="http://schemas.openxmlformats.org/officeDocument/2006/relationships/ctrlProp" Target="../ctrlProps/ctrlProp1015.xml"/><Relationship Id="rId1224" Type="http://schemas.openxmlformats.org/officeDocument/2006/relationships/ctrlProp" Target="../ctrlProps/ctrlProp1222.xml"/><Relationship Id="rId1431" Type="http://schemas.openxmlformats.org/officeDocument/2006/relationships/ctrlProp" Target="../ctrlProps/ctrlProp1429.xml"/><Relationship Id="rId1529" Type="http://schemas.openxmlformats.org/officeDocument/2006/relationships/ctrlProp" Target="../ctrlProps/ctrlProp1527.xml"/><Relationship Id="rId28" Type="http://schemas.openxmlformats.org/officeDocument/2006/relationships/ctrlProp" Target="../ctrlProps/ctrlProp26.xml"/><Relationship Id="rId177" Type="http://schemas.openxmlformats.org/officeDocument/2006/relationships/ctrlProp" Target="../ctrlProps/ctrlProp175.xml"/><Relationship Id="rId384" Type="http://schemas.openxmlformats.org/officeDocument/2006/relationships/ctrlProp" Target="../ctrlProps/ctrlProp382.xml"/><Relationship Id="rId591" Type="http://schemas.openxmlformats.org/officeDocument/2006/relationships/ctrlProp" Target="../ctrlProps/ctrlProp589.xml"/><Relationship Id="rId244" Type="http://schemas.openxmlformats.org/officeDocument/2006/relationships/ctrlProp" Target="../ctrlProps/ctrlProp242.xml"/><Relationship Id="rId689" Type="http://schemas.openxmlformats.org/officeDocument/2006/relationships/ctrlProp" Target="../ctrlProps/ctrlProp687.xml"/><Relationship Id="rId896" Type="http://schemas.openxmlformats.org/officeDocument/2006/relationships/ctrlProp" Target="../ctrlProps/ctrlProp894.xml"/><Relationship Id="rId1081" Type="http://schemas.openxmlformats.org/officeDocument/2006/relationships/ctrlProp" Target="../ctrlProps/ctrlProp1079.xml"/><Relationship Id="rId451" Type="http://schemas.openxmlformats.org/officeDocument/2006/relationships/ctrlProp" Target="../ctrlProps/ctrlProp449.xml"/><Relationship Id="rId549" Type="http://schemas.openxmlformats.org/officeDocument/2006/relationships/ctrlProp" Target="../ctrlProps/ctrlProp547.xml"/><Relationship Id="rId756" Type="http://schemas.openxmlformats.org/officeDocument/2006/relationships/ctrlProp" Target="../ctrlProps/ctrlProp754.xml"/><Relationship Id="rId1179" Type="http://schemas.openxmlformats.org/officeDocument/2006/relationships/ctrlProp" Target="../ctrlProps/ctrlProp1177.xml"/><Relationship Id="rId1386" Type="http://schemas.openxmlformats.org/officeDocument/2006/relationships/ctrlProp" Target="../ctrlProps/ctrlProp1384.xml"/><Relationship Id="rId104" Type="http://schemas.openxmlformats.org/officeDocument/2006/relationships/ctrlProp" Target="../ctrlProps/ctrlProp102.xml"/><Relationship Id="rId311" Type="http://schemas.openxmlformats.org/officeDocument/2006/relationships/ctrlProp" Target="../ctrlProps/ctrlProp309.xml"/><Relationship Id="rId409" Type="http://schemas.openxmlformats.org/officeDocument/2006/relationships/ctrlProp" Target="../ctrlProps/ctrlProp407.xml"/><Relationship Id="rId963" Type="http://schemas.openxmlformats.org/officeDocument/2006/relationships/ctrlProp" Target="../ctrlProps/ctrlProp961.xml"/><Relationship Id="rId1039" Type="http://schemas.openxmlformats.org/officeDocument/2006/relationships/ctrlProp" Target="../ctrlProps/ctrlProp1037.xml"/><Relationship Id="rId1246" Type="http://schemas.openxmlformats.org/officeDocument/2006/relationships/ctrlProp" Target="../ctrlProps/ctrlProp1244.xml"/><Relationship Id="rId92" Type="http://schemas.openxmlformats.org/officeDocument/2006/relationships/ctrlProp" Target="../ctrlProps/ctrlProp90.xml"/><Relationship Id="rId616" Type="http://schemas.openxmlformats.org/officeDocument/2006/relationships/ctrlProp" Target="../ctrlProps/ctrlProp614.xml"/><Relationship Id="rId823" Type="http://schemas.openxmlformats.org/officeDocument/2006/relationships/ctrlProp" Target="../ctrlProps/ctrlProp821.xml"/><Relationship Id="rId1453" Type="http://schemas.openxmlformats.org/officeDocument/2006/relationships/ctrlProp" Target="../ctrlProps/ctrlProp1451.xml"/><Relationship Id="rId1106" Type="http://schemas.openxmlformats.org/officeDocument/2006/relationships/ctrlProp" Target="../ctrlProps/ctrlProp1104.xml"/><Relationship Id="rId1313" Type="http://schemas.openxmlformats.org/officeDocument/2006/relationships/ctrlProp" Target="../ctrlProps/ctrlProp1311.xml"/><Relationship Id="rId1520" Type="http://schemas.openxmlformats.org/officeDocument/2006/relationships/ctrlProp" Target="../ctrlProps/ctrlProp1518.xml"/><Relationship Id="rId199" Type="http://schemas.openxmlformats.org/officeDocument/2006/relationships/ctrlProp" Target="../ctrlProps/ctrlProp197.xml"/><Relationship Id="rId266" Type="http://schemas.openxmlformats.org/officeDocument/2006/relationships/ctrlProp" Target="../ctrlProps/ctrlProp264.xml"/><Relationship Id="rId473" Type="http://schemas.openxmlformats.org/officeDocument/2006/relationships/ctrlProp" Target="../ctrlProps/ctrlProp471.xml"/><Relationship Id="rId680" Type="http://schemas.openxmlformats.org/officeDocument/2006/relationships/ctrlProp" Target="../ctrlProps/ctrlProp678.xml"/><Relationship Id="rId126" Type="http://schemas.openxmlformats.org/officeDocument/2006/relationships/ctrlProp" Target="../ctrlProps/ctrlProp124.xml"/><Relationship Id="rId333" Type="http://schemas.openxmlformats.org/officeDocument/2006/relationships/ctrlProp" Target="../ctrlProps/ctrlProp331.xml"/><Relationship Id="rId540" Type="http://schemas.openxmlformats.org/officeDocument/2006/relationships/ctrlProp" Target="../ctrlProps/ctrlProp538.xml"/><Relationship Id="rId778" Type="http://schemas.openxmlformats.org/officeDocument/2006/relationships/ctrlProp" Target="../ctrlProps/ctrlProp776.xml"/><Relationship Id="rId985" Type="http://schemas.openxmlformats.org/officeDocument/2006/relationships/ctrlProp" Target="../ctrlProps/ctrlProp983.xml"/><Relationship Id="rId1170" Type="http://schemas.openxmlformats.org/officeDocument/2006/relationships/ctrlProp" Target="../ctrlProps/ctrlProp1168.xml"/><Relationship Id="rId638" Type="http://schemas.openxmlformats.org/officeDocument/2006/relationships/ctrlProp" Target="../ctrlProps/ctrlProp636.xml"/><Relationship Id="rId845" Type="http://schemas.openxmlformats.org/officeDocument/2006/relationships/ctrlProp" Target="../ctrlProps/ctrlProp843.xml"/><Relationship Id="rId1030" Type="http://schemas.openxmlformats.org/officeDocument/2006/relationships/ctrlProp" Target="../ctrlProps/ctrlProp1028.xml"/><Relationship Id="rId1268" Type="http://schemas.openxmlformats.org/officeDocument/2006/relationships/ctrlProp" Target="../ctrlProps/ctrlProp1266.xml"/><Relationship Id="rId1475" Type="http://schemas.openxmlformats.org/officeDocument/2006/relationships/ctrlProp" Target="../ctrlProps/ctrlProp1473.xml"/><Relationship Id="rId400" Type="http://schemas.openxmlformats.org/officeDocument/2006/relationships/ctrlProp" Target="../ctrlProps/ctrlProp398.xml"/><Relationship Id="rId705" Type="http://schemas.openxmlformats.org/officeDocument/2006/relationships/ctrlProp" Target="../ctrlProps/ctrlProp703.xml"/><Relationship Id="rId1128" Type="http://schemas.openxmlformats.org/officeDocument/2006/relationships/ctrlProp" Target="../ctrlProps/ctrlProp1126.xml"/><Relationship Id="rId1335" Type="http://schemas.openxmlformats.org/officeDocument/2006/relationships/ctrlProp" Target="../ctrlProps/ctrlProp1333.xml"/><Relationship Id="rId1542" Type="http://schemas.openxmlformats.org/officeDocument/2006/relationships/ctrlProp" Target="../ctrlProps/ctrlProp1540.xml"/><Relationship Id="rId912" Type="http://schemas.openxmlformats.org/officeDocument/2006/relationships/ctrlProp" Target="../ctrlProps/ctrlProp910.xml"/><Relationship Id="rId41" Type="http://schemas.openxmlformats.org/officeDocument/2006/relationships/ctrlProp" Target="../ctrlProps/ctrlProp39.xml"/><Relationship Id="rId1402" Type="http://schemas.openxmlformats.org/officeDocument/2006/relationships/ctrlProp" Target="../ctrlProps/ctrlProp1400.xml"/><Relationship Id="rId190" Type="http://schemas.openxmlformats.org/officeDocument/2006/relationships/ctrlProp" Target="../ctrlProps/ctrlProp188.xml"/><Relationship Id="rId288" Type="http://schemas.openxmlformats.org/officeDocument/2006/relationships/ctrlProp" Target="../ctrlProps/ctrlProp286.xml"/><Relationship Id="rId495" Type="http://schemas.openxmlformats.org/officeDocument/2006/relationships/ctrlProp" Target="../ctrlProps/ctrlProp493.xml"/><Relationship Id="rId148" Type="http://schemas.openxmlformats.org/officeDocument/2006/relationships/ctrlProp" Target="../ctrlProps/ctrlProp146.xml"/><Relationship Id="rId355" Type="http://schemas.openxmlformats.org/officeDocument/2006/relationships/ctrlProp" Target="../ctrlProps/ctrlProp353.xml"/><Relationship Id="rId562" Type="http://schemas.openxmlformats.org/officeDocument/2006/relationships/ctrlProp" Target="../ctrlProps/ctrlProp560.xml"/><Relationship Id="rId1192" Type="http://schemas.openxmlformats.org/officeDocument/2006/relationships/ctrlProp" Target="../ctrlProps/ctrlProp1190.xml"/><Relationship Id="rId215" Type="http://schemas.openxmlformats.org/officeDocument/2006/relationships/ctrlProp" Target="../ctrlProps/ctrlProp213.xml"/><Relationship Id="rId422" Type="http://schemas.openxmlformats.org/officeDocument/2006/relationships/ctrlProp" Target="../ctrlProps/ctrlProp420.xml"/><Relationship Id="rId867" Type="http://schemas.openxmlformats.org/officeDocument/2006/relationships/ctrlProp" Target="../ctrlProps/ctrlProp865.xml"/><Relationship Id="rId1052" Type="http://schemas.openxmlformats.org/officeDocument/2006/relationships/ctrlProp" Target="../ctrlProps/ctrlProp1050.xml"/><Relationship Id="rId1497" Type="http://schemas.openxmlformats.org/officeDocument/2006/relationships/ctrlProp" Target="../ctrlProps/ctrlProp1495.xml"/><Relationship Id="rId727" Type="http://schemas.openxmlformats.org/officeDocument/2006/relationships/ctrlProp" Target="../ctrlProps/ctrlProp725.xml"/><Relationship Id="rId934" Type="http://schemas.openxmlformats.org/officeDocument/2006/relationships/ctrlProp" Target="../ctrlProps/ctrlProp932.xml"/><Relationship Id="rId1357" Type="http://schemas.openxmlformats.org/officeDocument/2006/relationships/ctrlProp" Target="../ctrlProps/ctrlProp1355.xml"/><Relationship Id="rId63" Type="http://schemas.openxmlformats.org/officeDocument/2006/relationships/ctrlProp" Target="../ctrlProps/ctrlProp61.xml"/><Relationship Id="rId1217" Type="http://schemas.openxmlformats.org/officeDocument/2006/relationships/ctrlProp" Target="../ctrlProps/ctrlProp1215.xml"/><Relationship Id="rId1424" Type="http://schemas.openxmlformats.org/officeDocument/2006/relationships/ctrlProp" Target="../ctrlProps/ctrlProp1422.xml"/><Relationship Id="rId74" Type="http://schemas.openxmlformats.org/officeDocument/2006/relationships/ctrlProp" Target="../ctrlProps/ctrlProp72.xml"/><Relationship Id="rId377" Type="http://schemas.openxmlformats.org/officeDocument/2006/relationships/ctrlProp" Target="../ctrlProps/ctrlProp375.xml"/><Relationship Id="rId500" Type="http://schemas.openxmlformats.org/officeDocument/2006/relationships/ctrlProp" Target="../ctrlProps/ctrlProp498.xml"/><Relationship Id="rId584" Type="http://schemas.openxmlformats.org/officeDocument/2006/relationships/ctrlProp" Target="../ctrlProps/ctrlProp582.xml"/><Relationship Id="rId805" Type="http://schemas.openxmlformats.org/officeDocument/2006/relationships/ctrlProp" Target="../ctrlProps/ctrlProp803.xml"/><Relationship Id="rId1130" Type="http://schemas.openxmlformats.org/officeDocument/2006/relationships/ctrlProp" Target="../ctrlProps/ctrlProp1128.xml"/><Relationship Id="rId1228" Type="http://schemas.openxmlformats.org/officeDocument/2006/relationships/ctrlProp" Target="../ctrlProps/ctrlProp1226.xml"/><Relationship Id="rId1435" Type="http://schemas.openxmlformats.org/officeDocument/2006/relationships/ctrlProp" Target="../ctrlProps/ctrlProp1433.xml"/><Relationship Id="rId5" Type="http://schemas.openxmlformats.org/officeDocument/2006/relationships/ctrlProp" Target="../ctrlProps/ctrlProp3.xml"/><Relationship Id="rId237" Type="http://schemas.openxmlformats.org/officeDocument/2006/relationships/ctrlProp" Target="../ctrlProps/ctrlProp235.xml"/><Relationship Id="rId791" Type="http://schemas.openxmlformats.org/officeDocument/2006/relationships/ctrlProp" Target="../ctrlProps/ctrlProp789.xml"/><Relationship Id="rId889" Type="http://schemas.openxmlformats.org/officeDocument/2006/relationships/ctrlProp" Target="../ctrlProps/ctrlProp887.xml"/><Relationship Id="rId1074" Type="http://schemas.openxmlformats.org/officeDocument/2006/relationships/ctrlProp" Target="../ctrlProps/ctrlProp1072.xml"/><Relationship Id="rId444" Type="http://schemas.openxmlformats.org/officeDocument/2006/relationships/ctrlProp" Target="../ctrlProps/ctrlProp442.xml"/><Relationship Id="rId651" Type="http://schemas.openxmlformats.org/officeDocument/2006/relationships/ctrlProp" Target="../ctrlProps/ctrlProp649.xml"/><Relationship Id="rId749" Type="http://schemas.openxmlformats.org/officeDocument/2006/relationships/ctrlProp" Target="../ctrlProps/ctrlProp747.xml"/><Relationship Id="rId1281" Type="http://schemas.openxmlformats.org/officeDocument/2006/relationships/ctrlProp" Target="../ctrlProps/ctrlProp1279.xml"/><Relationship Id="rId1379" Type="http://schemas.openxmlformats.org/officeDocument/2006/relationships/ctrlProp" Target="../ctrlProps/ctrlProp1377.xml"/><Relationship Id="rId1502" Type="http://schemas.openxmlformats.org/officeDocument/2006/relationships/ctrlProp" Target="../ctrlProps/ctrlProp1500.xml"/><Relationship Id="rId290" Type="http://schemas.openxmlformats.org/officeDocument/2006/relationships/ctrlProp" Target="../ctrlProps/ctrlProp288.xml"/><Relationship Id="rId304" Type="http://schemas.openxmlformats.org/officeDocument/2006/relationships/ctrlProp" Target="../ctrlProps/ctrlProp302.xml"/><Relationship Id="rId388" Type="http://schemas.openxmlformats.org/officeDocument/2006/relationships/ctrlProp" Target="../ctrlProps/ctrlProp386.xml"/><Relationship Id="rId511" Type="http://schemas.openxmlformats.org/officeDocument/2006/relationships/ctrlProp" Target="../ctrlProps/ctrlProp509.xml"/><Relationship Id="rId609" Type="http://schemas.openxmlformats.org/officeDocument/2006/relationships/ctrlProp" Target="../ctrlProps/ctrlProp607.xml"/><Relationship Id="rId956" Type="http://schemas.openxmlformats.org/officeDocument/2006/relationships/ctrlProp" Target="../ctrlProps/ctrlProp954.xml"/><Relationship Id="rId1141" Type="http://schemas.openxmlformats.org/officeDocument/2006/relationships/ctrlProp" Target="../ctrlProps/ctrlProp1139.xml"/><Relationship Id="rId1239" Type="http://schemas.openxmlformats.org/officeDocument/2006/relationships/ctrlProp" Target="../ctrlProps/ctrlProp1237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595" Type="http://schemas.openxmlformats.org/officeDocument/2006/relationships/ctrlProp" Target="../ctrlProps/ctrlProp593.xml"/><Relationship Id="rId816" Type="http://schemas.openxmlformats.org/officeDocument/2006/relationships/ctrlProp" Target="../ctrlProps/ctrlProp814.xml"/><Relationship Id="rId1001" Type="http://schemas.openxmlformats.org/officeDocument/2006/relationships/ctrlProp" Target="../ctrlProps/ctrlProp999.xml"/><Relationship Id="rId1446" Type="http://schemas.openxmlformats.org/officeDocument/2006/relationships/ctrlProp" Target="../ctrlProps/ctrlProp1444.xml"/><Relationship Id="rId248" Type="http://schemas.openxmlformats.org/officeDocument/2006/relationships/ctrlProp" Target="../ctrlProps/ctrlProp246.xml"/><Relationship Id="rId455" Type="http://schemas.openxmlformats.org/officeDocument/2006/relationships/ctrlProp" Target="../ctrlProps/ctrlProp453.xml"/><Relationship Id="rId662" Type="http://schemas.openxmlformats.org/officeDocument/2006/relationships/ctrlProp" Target="../ctrlProps/ctrlProp660.xml"/><Relationship Id="rId1085" Type="http://schemas.openxmlformats.org/officeDocument/2006/relationships/ctrlProp" Target="../ctrlProps/ctrlProp1083.xml"/><Relationship Id="rId1292" Type="http://schemas.openxmlformats.org/officeDocument/2006/relationships/ctrlProp" Target="../ctrlProps/ctrlProp1290.xml"/><Relationship Id="rId1306" Type="http://schemas.openxmlformats.org/officeDocument/2006/relationships/ctrlProp" Target="../ctrlProps/ctrlProp1304.xml"/><Relationship Id="rId1513" Type="http://schemas.openxmlformats.org/officeDocument/2006/relationships/ctrlProp" Target="../ctrlProps/ctrlProp1511.xml"/><Relationship Id="rId12" Type="http://schemas.openxmlformats.org/officeDocument/2006/relationships/ctrlProp" Target="../ctrlProps/ctrlProp10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522" Type="http://schemas.openxmlformats.org/officeDocument/2006/relationships/ctrlProp" Target="../ctrlProps/ctrlProp520.xml"/><Relationship Id="rId967" Type="http://schemas.openxmlformats.org/officeDocument/2006/relationships/ctrlProp" Target="../ctrlProps/ctrlProp965.xml"/><Relationship Id="rId1152" Type="http://schemas.openxmlformats.org/officeDocument/2006/relationships/ctrlProp" Target="../ctrlProps/ctrlProp1150.xml"/><Relationship Id="rId96" Type="http://schemas.openxmlformats.org/officeDocument/2006/relationships/ctrlProp" Target="../ctrlProps/ctrlProp94.xml"/><Relationship Id="rId161" Type="http://schemas.openxmlformats.org/officeDocument/2006/relationships/ctrlProp" Target="../ctrlProps/ctrlProp159.xml"/><Relationship Id="rId399" Type="http://schemas.openxmlformats.org/officeDocument/2006/relationships/ctrlProp" Target="../ctrlProps/ctrlProp397.xml"/><Relationship Id="rId827" Type="http://schemas.openxmlformats.org/officeDocument/2006/relationships/ctrlProp" Target="../ctrlProps/ctrlProp825.xml"/><Relationship Id="rId1012" Type="http://schemas.openxmlformats.org/officeDocument/2006/relationships/ctrlProp" Target="../ctrlProps/ctrlProp1010.xml"/><Relationship Id="rId1457" Type="http://schemas.openxmlformats.org/officeDocument/2006/relationships/ctrlProp" Target="../ctrlProps/ctrlProp1455.xml"/><Relationship Id="rId259" Type="http://schemas.openxmlformats.org/officeDocument/2006/relationships/ctrlProp" Target="../ctrlProps/ctrlProp257.xml"/><Relationship Id="rId466" Type="http://schemas.openxmlformats.org/officeDocument/2006/relationships/ctrlProp" Target="../ctrlProps/ctrlProp464.xml"/><Relationship Id="rId673" Type="http://schemas.openxmlformats.org/officeDocument/2006/relationships/ctrlProp" Target="../ctrlProps/ctrlProp671.xml"/><Relationship Id="rId880" Type="http://schemas.openxmlformats.org/officeDocument/2006/relationships/ctrlProp" Target="../ctrlProps/ctrlProp878.xml"/><Relationship Id="rId1096" Type="http://schemas.openxmlformats.org/officeDocument/2006/relationships/ctrlProp" Target="../ctrlProps/ctrlProp1094.xml"/><Relationship Id="rId1317" Type="http://schemas.openxmlformats.org/officeDocument/2006/relationships/ctrlProp" Target="../ctrlProps/ctrlProp1315.xml"/><Relationship Id="rId1524" Type="http://schemas.openxmlformats.org/officeDocument/2006/relationships/ctrlProp" Target="../ctrlProps/ctrlProp1522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326" Type="http://schemas.openxmlformats.org/officeDocument/2006/relationships/ctrlProp" Target="../ctrlProps/ctrlProp324.xml"/><Relationship Id="rId533" Type="http://schemas.openxmlformats.org/officeDocument/2006/relationships/ctrlProp" Target="../ctrlProps/ctrlProp531.xml"/><Relationship Id="rId978" Type="http://schemas.openxmlformats.org/officeDocument/2006/relationships/ctrlProp" Target="../ctrlProps/ctrlProp976.xml"/><Relationship Id="rId1163" Type="http://schemas.openxmlformats.org/officeDocument/2006/relationships/ctrlProp" Target="../ctrlProps/ctrlProp1161.xml"/><Relationship Id="rId1370" Type="http://schemas.openxmlformats.org/officeDocument/2006/relationships/ctrlProp" Target="../ctrlProps/ctrlProp1368.xml"/><Relationship Id="rId740" Type="http://schemas.openxmlformats.org/officeDocument/2006/relationships/ctrlProp" Target="../ctrlProps/ctrlProp738.xml"/><Relationship Id="rId838" Type="http://schemas.openxmlformats.org/officeDocument/2006/relationships/ctrlProp" Target="../ctrlProps/ctrlProp836.xml"/><Relationship Id="rId1023" Type="http://schemas.openxmlformats.org/officeDocument/2006/relationships/ctrlProp" Target="../ctrlProps/ctrlProp1021.xml"/><Relationship Id="rId1468" Type="http://schemas.openxmlformats.org/officeDocument/2006/relationships/ctrlProp" Target="../ctrlProps/ctrlProp1466.xml"/><Relationship Id="rId172" Type="http://schemas.openxmlformats.org/officeDocument/2006/relationships/ctrlProp" Target="../ctrlProps/ctrlProp170.xml"/><Relationship Id="rId477" Type="http://schemas.openxmlformats.org/officeDocument/2006/relationships/ctrlProp" Target="../ctrlProps/ctrlProp475.xml"/><Relationship Id="rId600" Type="http://schemas.openxmlformats.org/officeDocument/2006/relationships/ctrlProp" Target="../ctrlProps/ctrlProp598.xml"/><Relationship Id="rId684" Type="http://schemas.openxmlformats.org/officeDocument/2006/relationships/ctrlProp" Target="../ctrlProps/ctrlProp682.xml"/><Relationship Id="rId1230" Type="http://schemas.openxmlformats.org/officeDocument/2006/relationships/ctrlProp" Target="../ctrlProps/ctrlProp1228.xml"/><Relationship Id="rId1328" Type="http://schemas.openxmlformats.org/officeDocument/2006/relationships/ctrlProp" Target="../ctrlProps/ctrlProp1326.xml"/><Relationship Id="rId1535" Type="http://schemas.openxmlformats.org/officeDocument/2006/relationships/ctrlProp" Target="../ctrlProps/ctrlProp1533.xml"/><Relationship Id="rId337" Type="http://schemas.openxmlformats.org/officeDocument/2006/relationships/ctrlProp" Target="../ctrlProps/ctrlProp335.xml"/><Relationship Id="rId891" Type="http://schemas.openxmlformats.org/officeDocument/2006/relationships/ctrlProp" Target="../ctrlProps/ctrlProp889.xml"/><Relationship Id="rId905" Type="http://schemas.openxmlformats.org/officeDocument/2006/relationships/ctrlProp" Target="../ctrlProps/ctrlProp903.xml"/><Relationship Id="rId989" Type="http://schemas.openxmlformats.org/officeDocument/2006/relationships/ctrlProp" Target="../ctrlProps/ctrlProp987.xml"/><Relationship Id="rId34" Type="http://schemas.openxmlformats.org/officeDocument/2006/relationships/ctrlProp" Target="../ctrlProps/ctrlProp32.xml"/><Relationship Id="rId544" Type="http://schemas.openxmlformats.org/officeDocument/2006/relationships/ctrlProp" Target="../ctrlProps/ctrlProp542.xml"/><Relationship Id="rId751" Type="http://schemas.openxmlformats.org/officeDocument/2006/relationships/ctrlProp" Target="../ctrlProps/ctrlProp749.xml"/><Relationship Id="rId849" Type="http://schemas.openxmlformats.org/officeDocument/2006/relationships/ctrlProp" Target="../ctrlProps/ctrlProp847.xml"/><Relationship Id="rId1174" Type="http://schemas.openxmlformats.org/officeDocument/2006/relationships/ctrlProp" Target="../ctrlProps/ctrlProp1172.xml"/><Relationship Id="rId1381" Type="http://schemas.openxmlformats.org/officeDocument/2006/relationships/ctrlProp" Target="../ctrlProps/ctrlProp1379.xml"/><Relationship Id="rId1479" Type="http://schemas.openxmlformats.org/officeDocument/2006/relationships/ctrlProp" Target="../ctrlProps/ctrlProp1477.xml"/><Relationship Id="rId183" Type="http://schemas.openxmlformats.org/officeDocument/2006/relationships/ctrlProp" Target="../ctrlProps/ctrlProp181.xml"/><Relationship Id="rId390" Type="http://schemas.openxmlformats.org/officeDocument/2006/relationships/ctrlProp" Target="../ctrlProps/ctrlProp388.xml"/><Relationship Id="rId404" Type="http://schemas.openxmlformats.org/officeDocument/2006/relationships/ctrlProp" Target="../ctrlProps/ctrlProp402.xml"/><Relationship Id="rId611" Type="http://schemas.openxmlformats.org/officeDocument/2006/relationships/ctrlProp" Target="../ctrlProps/ctrlProp609.xml"/><Relationship Id="rId1034" Type="http://schemas.openxmlformats.org/officeDocument/2006/relationships/ctrlProp" Target="../ctrlProps/ctrlProp1032.xml"/><Relationship Id="rId1241" Type="http://schemas.openxmlformats.org/officeDocument/2006/relationships/ctrlProp" Target="../ctrlProps/ctrlProp1239.xml"/><Relationship Id="rId1339" Type="http://schemas.openxmlformats.org/officeDocument/2006/relationships/ctrlProp" Target="../ctrlProps/ctrlProp1337.xml"/><Relationship Id="rId250" Type="http://schemas.openxmlformats.org/officeDocument/2006/relationships/ctrlProp" Target="../ctrlProps/ctrlProp248.xml"/><Relationship Id="rId488" Type="http://schemas.openxmlformats.org/officeDocument/2006/relationships/ctrlProp" Target="../ctrlProps/ctrlProp486.xml"/><Relationship Id="rId695" Type="http://schemas.openxmlformats.org/officeDocument/2006/relationships/ctrlProp" Target="../ctrlProps/ctrlProp693.xml"/><Relationship Id="rId709" Type="http://schemas.openxmlformats.org/officeDocument/2006/relationships/ctrlProp" Target="../ctrlProps/ctrlProp707.xml"/><Relationship Id="rId916" Type="http://schemas.openxmlformats.org/officeDocument/2006/relationships/ctrlProp" Target="../ctrlProps/ctrlProp914.xml"/><Relationship Id="rId1101" Type="http://schemas.openxmlformats.org/officeDocument/2006/relationships/ctrlProp" Target="../ctrlProps/ctrlProp1099.xml"/><Relationship Id="rId1546" Type="http://schemas.openxmlformats.org/officeDocument/2006/relationships/ctrlProp" Target="../ctrlProps/ctrlProp1544.xml"/><Relationship Id="rId45" Type="http://schemas.openxmlformats.org/officeDocument/2006/relationships/ctrlProp" Target="../ctrlProps/ctrlProp43.xml"/><Relationship Id="rId110" Type="http://schemas.openxmlformats.org/officeDocument/2006/relationships/ctrlProp" Target="../ctrlProps/ctrlProp108.xml"/><Relationship Id="rId348" Type="http://schemas.openxmlformats.org/officeDocument/2006/relationships/ctrlProp" Target="../ctrlProps/ctrlProp346.xml"/><Relationship Id="rId555" Type="http://schemas.openxmlformats.org/officeDocument/2006/relationships/ctrlProp" Target="../ctrlProps/ctrlProp553.xml"/><Relationship Id="rId762" Type="http://schemas.openxmlformats.org/officeDocument/2006/relationships/ctrlProp" Target="../ctrlProps/ctrlProp760.xml"/><Relationship Id="rId1185" Type="http://schemas.openxmlformats.org/officeDocument/2006/relationships/ctrlProp" Target="../ctrlProps/ctrlProp1183.xml"/><Relationship Id="rId1392" Type="http://schemas.openxmlformats.org/officeDocument/2006/relationships/ctrlProp" Target="../ctrlProps/ctrlProp1390.xml"/><Relationship Id="rId1406" Type="http://schemas.openxmlformats.org/officeDocument/2006/relationships/ctrlProp" Target="../ctrlProps/ctrlProp1404.xml"/><Relationship Id="rId194" Type="http://schemas.openxmlformats.org/officeDocument/2006/relationships/ctrlProp" Target="../ctrlProps/ctrlProp192.xml"/><Relationship Id="rId208" Type="http://schemas.openxmlformats.org/officeDocument/2006/relationships/ctrlProp" Target="../ctrlProps/ctrlProp206.xml"/><Relationship Id="rId415" Type="http://schemas.openxmlformats.org/officeDocument/2006/relationships/ctrlProp" Target="../ctrlProps/ctrlProp413.xml"/><Relationship Id="rId622" Type="http://schemas.openxmlformats.org/officeDocument/2006/relationships/ctrlProp" Target="../ctrlProps/ctrlProp620.xml"/><Relationship Id="rId1045" Type="http://schemas.openxmlformats.org/officeDocument/2006/relationships/ctrlProp" Target="../ctrlProps/ctrlProp1043.xml"/><Relationship Id="rId1252" Type="http://schemas.openxmlformats.org/officeDocument/2006/relationships/ctrlProp" Target="../ctrlProps/ctrlProp1250.xml"/><Relationship Id="rId261" Type="http://schemas.openxmlformats.org/officeDocument/2006/relationships/ctrlProp" Target="../ctrlProps/ctrlProp259.xml"/><Relationship Id="rId499" Type="http://schemas.openxmlformats.org/officeDocument/2006/relationships/ctrlProp" Target="../ctrlProps/ctrlProp497.xml"/><Relationship Id="rId927" Type="http://schemas.openxmlformats.org/officeDocument/2006/relationships/ctrlProp" Target="../ctrlProps/ctrlProp925.xml"/><Relationship Id="rId1112" Type="http://schemas.openxmlformats.org/officeDocument/2006/relationships/ctrlProp" Target="../ctrlProps/ctrlProp1110.xml"/><Relationship Id="rId56" Type="http://schemas.openxmlformats.org/officeDocument/2006/relationships/ctrlProp" Target="../ctrlProps/ctrlProp54.xml"/><Relationship Id="rId359" Type="http://schemas.openxmlformats.org/officeDocument/2006/relationships/ctrlProp" Target="../ctrlProps/ctrlProp357.xml"/><Relationship Id="rId566" Type="http://schemas.openxmlformats.org/officeDocument/2006/relationships/ctrlProp" Target="../ctrlProps/ctrlProp564.xml"/><Relationship Id="rId773" Type="http://schemas.openxmlformats.org/officeDocument/2006/relationships/ctrlProp" Target="../ctrlProps/ctrlProp771.xml"/><Relationship Id="rId1196" Type="http://schemas.openxmlformats.org/officeDocument/2006/relationships/ctrlProp" Target="../ctrlProps/ctrlProp1194.xml"/><Relationship Id="rId1417" Type="http://schemas.openxmlformats.org/officeDocument/2006/relationships/ctrlProp" Target="../ctrlProps/ctrlProp1415.xml"/><Relationship Id="rId121" Type="http://schemas.openxmlformats.org/officeDocument/2006/relationships/ctrlProp" Target="../ctrlProps/ctrlProp119.xml"/><Relationship Id="rId219" Type="http://schemas.openxmlformats.org/officeDocument/2006/relationships/ctrlProp" Target="../ctrlProps/ctrlProp217.xml"/><Relationship Id="rId426" Type="http://schemas.openxmlformats.org/officeDocument/2006/relationships/ctrlProp" Target="../ctrlProps/ctrlProp424.xml"/><Relationship Id="rId633" Type="http://schemas.openxmlformats.org/officeDocument/2006/relationships/ctrlProp" Target="../ctrlProps/ctrlProp631.xml"/><Relationship Id="rId980" Type="http://schemas.openxmlformats.org/officeDocument/2006/relationships/ctrlProp" Target="../ctrlProps/ctrlProp978.xml"/><Relationship Id="rId1056" Type="http://schemas.openxmlformats.org/officeDocument/2006/relationships/ctrlProp" Target="../ctrlProps/ctrlProp1054.xml"/><Relationship Id="rId1263" Type="http://schemas.openxmlformats.org/officeDocument/2006/relationships/ctrlProp" Target="../ctrlProps/ctrlProp1261.xml"/><Relationship Id="rId840" Type="http://schemas.openxmlformats.org/officeDocument/2006/relationships/ctrlProp" Target="../ctrlProps/ctrlProp838.xml"/><Relationship Id="rId938" Type="http://schemas.openxmlformats.org/officeDocument/2006/relationships/ctrlProp" Target="../ctrlProps/ctrlProp936.xml"/><Relationship Id="rId1470" Type="http://schemas.openxmlformats.org/officeDocument/2006/relationships/ctrlProp" Target="../ctrlProps/ctrlProp1468.xml"/><Relationship Id="rId67" Type="http://schemas.openxmlformats.org/officeDocument/2006/relationships/ctrlProp" Target="../ctrlProps/ctrlProp65.xml"/><Relationship Id="rId272" Type="http://schemas.openxmlformats.org/officeDocument/2006/relationships/ctrlProp" Target="../ctrlProps/ctrlProp270.xml"/><Relationship Id="rId577" Type="http://schemas.openxmlformats.org/officeDocument/2006/relationships/ctrlProp" Target="../ctrlProps/ctrlProp575.xml"/><Relationship Id="rId700" Type="http://schemas.openxmlformats.org/officeDocument/2006/relationships/ctrlProp" Target="../ctrlProps/ctrlProp698.xml"/><Relationship Id="rId1123" Type="http://schemas.openxmlformats.org/officeDocument/2006/relationships/ctrlProp" Target="../ctrlProps/ctrlProp1121.xml"/><Relationship Id="rId1330" Type="http://schemas.openxmlformats.org/officeDocument/2006/relationships/ctrlProp" Target="../ctrlProps/ctrlProp1328.xml"/><Relationship Id="rId1428" Type="http://schemas.openxmlformats.org/officeDocument/2006/relationships/ctrlProp" Target="../ctrlProps/ctrlProp1426.xml"/><Relationship Id="rId132" Type="http://schemas.openxmlformats.org/officeDocument/2006/relationships/ctrlProp" Target="../ctrlProps/ctrlProp130.xml"/><Relationship Id="rId784" Type="http://schemas.openxmlformats.org/officeDocument/2006/relationships/ctrlProp" Target="../ctrlProps/ctrlProp782.xml"/><Relationship Id="rId991" Type="http://schemas.openxmlformats.org/officeDocument/2006/relationships/ctrlProp" Target="../ctrlProps/ctrlProp989.xml"/><Relationship Id="rId1067" Type="http://schemas.openxmlformats.org/officeDocument/2006/relationships/ctrlProp" Target="../ctrlProps/ctrlProp1065.xml"/><Relationship Id="rId437" Type="http://schemas.openxmlformats.org/officeDocument/2006/relationships/ctrlProp" Target="../ctrlProps/ctrlProp435.xml"/><Relationship Id="rId644" Type="http://schemas.openxmlformats.org/officeDocument/2006/relationships/ctrlProp" Target="../ctrlProps/ctrlProp642.xml"/><Relationship Id="rId851" Type="http://schemas.openxmlformats.org/officeDocument/2006/relationships/ctrlProp" Target="../ctrlProps/ctrlProp849.xml"/><Relationship Id="rId1274" Type="http://schemas.openxmlformats.org/officeDocument/2006/relationships/ctrlProp" Target="../ctrlProps/ctrlProp1272.xml"/><Relationship Id="rId1481" Type="http://schemas.openxmlformats.org/officeDocument/2006/relationships/ctrlProp" Target="../ctrlProps/ctrlProp1479.xml"/><Relationship Id="rId283" Type="http://schemas.openxmlformats.org/officeDocument/2006/relationships/ctrlProp" Target="../ctrlProps/ctrlProp281.xml"/><Relationship Id="rId490" Type="http://schemas.openxmlformats.org/officeDocument/2006/relationships/ctrlProp" Target="../ctrlProps/ctrlProp488.xml"/><Relationship Id="rId504" Type="http://schemas.openxmlformats.org/officeDocument/2006/relationships/ctrlProp" Target="../ctrlProps/ctrlProp502.xml"/><Relationship Id="rId711" Type="http://schemas.openxmlformats.org/officeDocument/2006/relationships/ctrlProp" Target="../ctrlProps/ctrlProp709.xml"/><Relationship Id="rId949" Type="http://schemas.openxmlformats.org/officeDocument/2006/relationships/ctrlProp" Target="../ctrlProps/ctrlProp947.xml"/><Relationship Id="rId1134" Type="http://schemas.openxmlformats.org/officeDocument/2006/relationships/ctrlProp" Target="../ctrlProps/ctrlProp1132.xml"/><Relationship Id="rId1341" Type="http://schemas.openxmlformats.org/officeDocument/2006/relationships/ctrlProp" Target="../ctrlProps/ctrlProp1339.xml"/><Relationship Id="rId78" Type="http://schemas.openxmlformats.org/officeDocument/2006/relationships/ctrlProp" Target="../ctrlProps/ctrlProp76.xml"/><Relationship Id="rId143" Type="http://schemas.openxmlformats.org/officeDocument/2006/relationships/ctrlProp" Target="../ctrlProps/ctrlProp141.xml"/><Relationship Id="rId350" Type="http://schemas.openxmlformats.org/officeDocument/2006/relationships/ctrlProp" Target="../ctrlProps/ctrlProp348.xml"/><Relationship Id="rId588" Type="http://schemas.openxmlformats.org/officeDocument/2006/relationships/ctrlProp" Target="../ctrlProps/ctrlProp586.xml"/><Relationship Id="rId795" Type="http://schemas.openxmlformats.org/officeDocument/2006/relationships/ctrlProp" Target="../ctrlProps/ctrlProp793.xml"/><Relationship Id="rId809" Type="http://schemas.openxmlformats.org/officeDocument/2006/relationships/ctrlProp" Target="../ctrlProps/ctrlProp807.xml"/><Relationship Id="rId1201" Type="http://schemas.openxmlformats.org/officeDocument/2006/relationships/ctrlProp" Target="../ctrlProps/ctrlProp1199.xml"/><Relationship Id="rId1439" Type="http://schemas.openxmlformats.org/officeDocument/2006/relationships/ctrlProp" Target="../ctrlProps/ctrlProp1437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448" Type="http://schemas.openxmlformats.org/officeDocument/2006/relationships/ctrlProp" Target="../ctrlProps/ctrlProp446.xml"/><Relationship Id="rId655" Type="http://schemas.openxmlformats.org/officeDocument/2006/relationships/ctrlProp" Target="../ctrlProps/ctrlProp653.xml"/><Relationship Id="rId862" Type="http://schemas.openxmlformats.org/officeDocument/2006/relationships/ctrlProp" Target="../ctrlProps/ctrlProp860.xml"/><Relationship Id="rId1078" Type="http://schemas.openxmlformats.org/officeDocument/2006/relationships/ctrlProp" Target="../ctrlProps/ctrlProp1076.xml"/><Relationship Id="rId1285" Type="http://schemas.openxmlformats.org/officeDocument/2006/relationships/ctrlProp" Target="../ctrlProps/ctrlProp1283.xml"/><Relationship Id="rId1492" Type="http://schemas.openxmlformats.org/officeDocument/2006/relationships/ctrlProp" Target="../ctrlProps/ctrlProp1490.xml"/><Relationship Id="rId1506" Type="http://schemas.openxmlformats.org/officeDocument/2006/relationships/ctrlProp" Target="../ctrlProps/ctrlProp1504.xml"/><Relationship Id="rId294" Type="http://schemas.openxmlformats.org/officeDocument/2006/relationships/ctrlProp" Target="../ctrlProps/ctrlProp292.xml"/><Relationship Id="rId308" Type="http://schemas.openxmlformats.org/officeDocument/2006/relationships/ctrlProp" Target="../ctrlProps/ctrlProp306.xml"/><Relationship Id="rId515" Type="http://schemas.openxmlformats.org/officeDocument/2006/relationships/ctrlProp" Target="../ctrlProps/ctrlProp513.xml"/><Relationship Id="rId722" Type="http://schemas.openxmlformats.org/officeDocument/2006/relationships/ctrlProp" Target="../ctrlProps/ctrlProp720.xml"/><Relationship Id="rId1145" Type="http://schemas.openxmlformats.org/officeDocument/2006/relationships/ctrlProp" Target="../ctrlProps/ctrlProp1143.xml"/><Relationship Id="rId1352" Type="http://schemas.openxmlformats.org/officeDocument/2006/relationships/ctrlProp" Target="../ctrlProps/ctrlProp1350.xml"/><Relationship Id="rId89" Type="http://schemas.openxmlformats.org/officeDocument/2006/relationships/ctrlProp" Target="../ctrlProps/ctrlProp87.xml"/><Relationship Id="rId154" Type="http://schemas.openxmlformats.org/officeDocument/2006/relationships/ctrlProp" Target="../ctrlProps/ctrlProp152.xml"/><Relationship Id="rId361" Type="http://schemas.openxmlformats.org/officeDocument/2006/relationships/ctrlProp" Target="../ctrlProps/ctrlProp359.xml"/><Relationship Id="rId599" Type="http://schemas.openxmlformats.org/officeDocument/2006/relationships/ctrlProp" Target="../ctrlProps/ctrlProp597.xml"/><Relationship Id="rId1005" Type="http://schemas.openxmlformats.org/officeDocument/2006/relationships/ctrlProp" Target="../ctrlProps/ctrlProp1003.xml"/><Relationship Id="rId1212" Type="http://schemas.openxmlformats.org/officeDocument/2006/relationships/ctrlProp" Target="../ctrlProps/ctrlProp1210.xml"/><Relationship Id="rId459" Type="http://schemas.openxmlformats.org/officeDocument/2006/relationships/ctrlProp" Target="../ctrlProps/ctrlProp457.xml"/><Relationship Id="rId666" Type="http://schemas.openxmlformats.org/officeDocument/2006/relationships/ctrlProp" Target="../ctrlProps/ctrlProp664.xml"/><Relationship Id="rId873" Type="http://schemas.openxmlformats.org/officeDocument/2006/relationships/ctrlProp" Target="../ctrlProps/ctrlProp871.xml"/><Relationship Id="rId1089" Type="http://schemas.openxmlformats.org/officeDocument/2006/relationships/ctrlProp" Target="../ctrlProps/ctrlProp1087.xml"/><Relationship Id="rId1296" Type="http://schemas.openxmlformats.org/officeDocument/2006/relationships/ctrlProp" Target="../ctrlProps/ctrlProp1294.xml"/><Relationship Id="rId1517" Type="http://schemas.openxmlformats.org/officeDocument/2006/relationships/ctrlProp" Target="../ctrlProps/ctrlProp1515.xml"/><Relationship Id="rId16" Type="http://schemas.openxmlformats.org/officeDocument/2006/relationships/ctrlProp" Target="../ctrlProps/ctrlProp14.xml"/><Relationship Id="rId221" Type="http://schemas.openxmlformats.org/officeDocument/2006/relationships/ctrlProp" Target="../ctrlProps/ctrlProp219.xml"/><Relationship Id="rId319" Type="http://schemas.openxmlformats.org/officeDocument/2006/relationships/ctrlProp" Target="../ctrlProps/ctrlProp317.xml"/><Relationship Id="rId526" Type="http://schemas.openxmlformats.org/officeDocument/2006/relationships/ctrlProp" Target="../ctrlProps/ctrlProp524.xml"/><Relationship Id="rId1156" Type="http://schemas.openxmlformats.org/officeDocument/2006/relationships/ctrlProp" Target="../ctrlProps/ctrlProp1154.xml"/><Relationship Id="rId1363" Type="http://schemas.openxmlformats.org/officeDocument/2006/relationships/ctrlProp" Target="../ctrlProps/ctrlProp1361.xml"/><Relationship Id="rId733" Type="http://schemas.openxmlformats.org/officeDocument/2006/relationships/ctrlProp" Target="../ctrlProps/ctrlProp731.xml"/><Relationship Id="rId940" Type="http://schemas.openxmlformats.org/officeDocument/2006/relationships/ctrlProp" Target="../ctrlProps/ctrlProp938.xml"/><Relationship Id="rId1016" Type="http://schemas.openxmlformats.org/officeDocument/2006/relationships/ctrlProp" Target="../ctrlProps/ctrlProp1014.xml"/><Relationship Id="rId165" Type="http://schemas.openxmlformats.org/officeDocument/2006/relationships/ctrlProp" Target="../ctrlProps/ctrlProp163.xml"/><Relationship Id="rId372" Type="http://schemas.openxmlformats.org/officeDocument/2006/relationships/ctrlProp" Target="../ctrlProps/ctrlProp370.xml"/><Relationship Id="rId677" Type="http://schemas.openxmlformats.org/officeDocument/2006/relationships/ctrlProp" Target="../ctrlProps/ctrlProp675.xml"/><Relationship Id="rId800" Type="http://schemas.openxmlformats.org/officeDocument/2006/relationships/ctrlProp" Target="../ctrlProps/ctrlProp798.xml"/><Relationship Id="rId1223" Type="http://schemas.openxmlformats.org/officeDocument/2006/relationships/ctrlProp" Target="../ctrlProps/ctrlProp1221.xml"/><Relationship Id="rId1430" Type="http://schemas.openxmlformats.org/officeDocument/2006/relationships/ctrlProp" Target="../ctrlProps/ctrlProp1428.xml"/><Relationship Id="rId1528" Type="http://schemas.openxmlformats.org/officeDocument/2006/relationships/ctrlProp" Target="../ctrlProps/ctrlProp1526.xml"/><Relationship Id="rId232" Type="http://schemas.openxmlformats.org/officeDocument/2006/relationships/ctrlProp" Target="../ctrlProps/ctrlProp230.xml"/><Relationship Id="rId884" Type="http://schemas.openxmlformats.org/officeDocument/2006/relationships/ctrlProp" Target="../ctrlProps/ctrlProp882.xml"/><Relationship Id="rId27" Type="http://schemas.openxmlformats.org/officeDocument/2006/relationships/ctrlProp" Target="../ctrlProps/ctrlProp25.xml"/><Relationship Id="rId537" Type="http://schemas.openxmlformats.org/officeDocument/2006/relationships/ctrlProp" Target="../ctrlProps/ctrlProp535.xml"/><Relationship Id="rId744" Type="http://schemas.openxmlformats.org/officeDocument/2006/relationships/ctrlProp" Target="../ctrlProps/ctrlProp742.xml"/><Relationship Id="rId951" Type="http://schemas.openxmlformats.org/officeDocument/2006/relationships/ctrlProp" Target="../ctrlProps/ctrlProp949.xml"/><Relationship Id="rId1167" Type="http://schemas.openxmlformats.org/officeDocument/2006/relationships/ctrlProp" Target="../ctrlProps/ctrlProp1165.xml"/><Relationship Id="rId1374" Type="http://schemas.openxmlformats.org/officeDocument/2006/relationships/ctrlProp" Target="../ctrlProps/ctrlProp1372.xml"/><Relationship Id="rId80" Type="http://schemas.openxmlformats.org/officeDocument/2006/relationships/ctrlProp" Target="../ctrlProps/ctrlProp78.xml"/><Relationship Id="rId176" Type="http://schemas.openxmlformats.org/officeDocument/2006/relationships/ctrlProp" Target="../ctrlProps/ctrlProp174.xml"/><Relationship Id="rId383" Type="http://schemas.openxmlformats.org/officeDocument/2006/relationships/ctrlProp" Target="../ctrlProps/ctrlProp381.xml"/><Relationship Id="rId590" Type="http://schemas.openxmlformats.org/officeDocument/2006/relationships/ctrlProp" Target="../ctrlProps/ctrlProp588.xml"/><Relationship Id="rId604" Type="http://schemas.openxmlformats.org/officeDocument/2006/relationships/ctrlProp" Target="../ctrlProps/ctrlProp602.xml"/><Relationship Id="rId811" Type="http://schemas.openxmlformats.org/officeDocument/2006/relationships/ctrlProp" Target="../ctrlProps/ctrlProp809.xml"/><Relationship Id="rId1027" Type="http://schemas.openxmlformats.org/officeDocument/2006/relationships/ctrlProp" Target="../ctrlProps/ctrlProp1025.xml"/><Relationship Id="rId1234" Type="http://schemas.openxmlformats.org/officeDocument/2006/relationships/ctrlProp" Target="../ctrlProps/ctrlProp1232.xml"/><Relationship Id="rId1441" Type="http://schemas.openxmlformats.org/officeDocument/2006/relationships/ctrlProp" Target="../ctrlProps/ctrlProp1439.xml"/><Relationship Id="rId243" Type="http://schemas.openxmlformats.org/officeDocument/2006/relationships/ctrlProp" Target="../ctrlProps/ctrlProp241.xml"/><Relationship Id="rId450" Type="http://schemas.openxmlformats.org/officeDocument/2006/relationships/ctrlProp" Target="../ctrlProps/ctrlProp448.xml"/><Relationship Id="rId688" Type="http://schemas.openxmlformats.org/officeDocument/2006/relationships/ctrlProp" Target="../ctrlProps/ctrlProp686.xml"/><Relationship Id="rId895" Type="http://schemas.openxmlformats.org/officeDocument/2006/relationships/ctrlProp" Target="../ctrlProps/ctrlProp893.xml"/><Relationship Id="rId909" Type="http://schemas.openxmlformats.org/officeDocument/2006/relationships/ctrlProp" Target="../ctrlProps/ctrlProp907.xml"/><Relationship Id="rId1080" Type="http://schemas.openxmlformats.org/officeDocument/2006/relationships/ctrlProp" Target="../ctrlProps/ctrlProp1078.xml"/><Relationship Id="rId1301" Type="http://schemas.openxmlformats.org/officeDocument/2006/relationships/ctrlProp" Target="../ctrlProps/ctrlProp1299.xml"/><Relationship Id="rId1539" Type="http://schemas.openxmlformats.org/officeDocument/2006/relationships/ctrlProp" Target="../ctrlProps/ctrlProp1537.xml"/><Relationship Id="rId38" Type="http://schemas.openxmlformats.org/officeDocument/2006/relationships/ctrlProp" Target="../ctrlProps/ctrlProp36.xml"/><Relationship Id="rId103" Type="http://schemas.openxmlformats.org/officeDocument/2006/relationships/ctrlProp" Target="../ctrlProps/ctrlProp101.xml"/><Relationship Id="rId310" Type="http://schemas.openxmlformats.org/officeDocument/2006/relationships/ctrlProp" Target="../ctrlProps/ctrlProp308.xml"/><Relationship Id="rId548" Type="http://schemas.openxmlformats.org/officeDocument/2006/relationships/ctrlProp" Target="../ctrlProps/ctrlProp546.xml"/><Relationship Id="rId755" Type="http://schemas.openxmlformats.org/officeDocument/2006/relationships/ctrlProp" Target="../ctrlProps/ctrlProp753.xml"/><Relationship Id="rId962" Type="http://schemas.openxmlformats.org/officeDocument/2006/relationships/ctrlProp" Target="../ctrlProps/ctrlProp960.xml"/><Relationship Id="rId1178" Type="http://schemas.openxmlformats.org/officeDocument/2006/relationships/ctrlProp" Target="../ctrlProps/ctrlProp1176.xml"/><Relationship Id="rId1385" Type="http://schemas.openxmlformats.org/officeDocument/2006/relationships/ctrlProp" Target="../ctrlProps/ctrlProp1383.xml"/><Relationship Id="rId91" Type="http://schemas.openxmlformats.org/officeDocument/2006/relationships/ctrlProp" Target="../ctrlProps/ctrlProp89.xml"/><Relationship Id="rId187" Type="http://schemas.openxmlformats.org/officeDocument/2006/relationships/ctrlProp" Target="../ctrlProps/ctrlProp185.xml"/><Relationship Id="rId394" Type="http://schemas.openxmlformats.org/officeDocument/2006/relationships/ctrlProp" Target="../ctrlProps/ctrlProp392.xml"/><Relationship Id="rId408" Type="http://schemas.openxmlformats.org/officeDocument/2006/relationships/ctrlProp" Target="../ctrlProps/ctrlProp406.xml"/><Relationship Id="rId615" Type="http://schemas.openxmlformats.org/officeDocument/2006/relationships/ctrlProp" Target="../ctrlProps/ctrlProp613.xml"/><Relationship Id="rId822" Type="http://schemas.openxmlformats.org/officeDocument/2006/relationships/ctrlProp" Target="../ctrlProps/ctrlProp820.xml"/><Relationship Id="rId1038" Type="http://schemas.openxmlformats.org/officeDocument/2006/relationships/ctrlProp" Target="../ctrlProps/ctrlProp1036.xml"/><Relationship Id="rId1245" Type="http://schemas.openxmlformats.org/officeDocument/2006/relationships/ctrlProp" Target="../ctrlProps/ctrlProp1243.xml"/><Relationship Id="rId1452" Type="http://schemas.openxmlformats.org/officeDocument/2006/relationships/ctrlProp" Target="../ctrlProps/ctrlProp1450.xml"/><Relationship Id="rId254" Type="http://schemas.openxmlformats.org/officeDocument/2006/relationships/ctrlProp" Target="../ctrlProps/ctrlProp252.xml"/><Relationship Id="rId699" Type="http://schemas.openxmlformats.org/officeDocument/2006/relationships/ctrlProp" Target="../ctrlProps/ctrlProp697.xml"/><Relationship Id="rId1091" Type="http://schemas.openxmlformats.org/officeDocument/2006/relationships/ctrlProp" Target="../ctrlProps/ctrlProp1089.xml"/><Relationship Id="rId1105" Type="http://schemas.openxmlformats.org/officeDocument/2006/relationships/ctrlProp" Target="../ctrlProps/ctrlProp1103.xml"/><Relationship Id="rId1312" Type="http://schemas.openxmlformats.org/officeDocument/2006/relationships/ctrlProp" Target="../ctrlProps/ctrlProp1310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461" Type="http://schemas.openxmlformats.org/officeDocument/2006/relationships/ctrlProp" Target="../ctrlProps/ctrlProp459.xml"/><Relationship Id="rId559" Type="http://schemas.openxmlformats.org/officeDocument/2006/relationships/ctrlProp" Target="../ctrlProps/ctrlProp557.xml"/><Relationship Id="rId766" Type="http://schemas.openxmlformats.org/officeDocument/2006/relationships/ctrlProp" Target="../ctrlProps/ctrlProp764.xml"/><Relationship Id="rId1189" Type="http://schemas.openxmlformats.org/officeDocument/2006/relationships/ctrlProp" Target="../ctrlProps/ctrlProp1187.xml"/><Relationship Id="rId1396" Type="http://schemas.openxmlformats.org/officeDocument/2006/relationships/ctrlProp" Target="../ctrlProps/ctrlProp1394.xml"/><Relationship Id="rId198" Type="http://schemas.openxmlformats.org/officeDocument/2006/relationships/ctrlProp" Target="../ctrlProps/ctrlProp196.xml"/><Relationship Id="rId321" Type="http://schemas.openxmlformats.org/officeDocument/2006/relationships/ctrlProp" Target="../ctrlProps/ctrlProp319.xml"/><Relationship Id="rId419" Type="http://schemas.openxmlformats.org/officeDocument/2006/relationships/ctrlProp" Target="../ctrlProps/ctrlProp417.xml"/><Relationship Id="rId626" Type="http://schemas.openxmlformats.org/officeDocument/2006/relationships/ctrlProp" Target="../ctrlProps/ctrlProp624.xml"/><Relationship Id="rId973" Type="http://schemas.openxmlformats.org/officeDocument/2006/relationships/ctrlProp" Target="../ctrlProps/ctrlProp971.xml"/><Relationship Id="rId1049" Type="http://schemas.openxmlformats.org/officeDocument/2006/relationships/ctrlProp" Target="../ctrlProps/ctrlProp1047.xml"/><Relationship Id="rId1256" Type="http://schemas.openxmlformats.org/officeDocument/2006/relationships/ctrlProp" Target="../ctrlProps/ctrlProp1254.xml"/><Relationship Id="rId833" Type="http://schemas.openxmlformats.org/officeDocument/2006/relationships/ctrlProp" Target="../ctrlProps/ctrlProp831.xml"/><Relationship Id="rId1116" Type="http://schemas.openxmlformats.org/officeDocument/2006/relationships/ctrlProp" Target="../ctrlProps/ctrlProp1114.xml"/><Relationship Id="rId1463" Type="http://schemas.openxmlformats.org/officeDocument/2006/relationships/ctrlProp" Target="../ctrlProps/ctrlProp1461.xml"/><Relationship Id="rId265" Type="http://schemas.openxmlformats.org/officeDocument/2006/relationships/ctrlProp" Target="../ctrlProps/ctrlProp263.xml"/><Relationship Id="rId472" Type="http://schemas.openxmlformats.org/officeDocument/2006/relationships/ctrlProp" Target="../ctrlProps/ctrlProp470.xml"/><Relationship Id="rId900" Type="http://schemas.openxmlformats.org/officeDocument/2006/relationships/ctrlProp" Target="../ctrlProps/ctrlProp898.xml"/><Relationship Id="rId1323" Type="http://schemas.openxmlformats.org/officeDocument/2006/relationships/ctrlProp" Target="../ctrlProps/ctrlProp1321.xml"/><Relationship Id="rId1530" Type="http://schemas.openxmlformats.org/officeDocument/2006/relationships/ctrlProp" Target="../ctrlProps/ctrlProp1528.xml"/><Relationship Id="rId125" Type="http://schemas.openxmlformats.org/officeDocument/2006/relationships/ctrlProp" Target="../ctrlProps/ctrlProp123.xml"/><Relationship Id="rId332" Type="http://schemas.openxmlformats.org/officeDocument/2006/relationships/ctrlProp" Target="../ctrlProps/ctrlProp330.xml"/><Relationship Id="rId777" Type="http://schemas.openxmlformats.org/officeDocument/2006/relationships/ctrlProp" Target="../ctrlProps/ctrlProp775.xml"/><Relationship Id="rId984" Type="http://schemas.openxmlformats.org/officeDocument/2006/relationships/ctrlProp" Target="../ctrlProps/ctrlProp982.xml"/><Relationship Id="rId637" Type="http://schemas.openxmlformats.org/officeDocument/2006/relationships/ctrlProp" Target="../ctrlProps/ctrlProp635.xml"/><Relationship Id="rId844" Type="http://schemas.openxmlformats.org/officeDocument/2006/relationships/ctrlProp" Target="../ctrlProps/ctrlProp842.xml"/><Relationship Id="rId1267" Type="http://schemas.openxmlformats.org/officeDocument/2006/relationships/ctrlProp" Target="../ctrlProps/ctrlProp1265.xml"/><Relationship Id="rId1474" Type="http://schemas.openxmlformats.org/officeDocument/2006/relationships/ctrlProp" Target="../ctrlProps/ctrlProp1472.xml"/><Relationship Id="rId276" Type="http://schemas.openxmlformats.org/officeDocument/2006/relationships/ctrlProp" Target="../ctrlProps/ctrlProp274.xml"/><Relationship Id="rId483" Type="http://schemas.openxmlformats.org/officeDocument/2006/relationships/ctrlProp" Target="../ctrlProps/ctrlProp481.xml"/><Relationship Id="rId690" Type="http://schemas.openxmlformats.org/officeDocument/2006/relationships/ctrlProp" Target="../ctrlProps/ctrlProp688.xml"/><Relationship Id="rId704" Type="http://schemas.openxmlformats.org/officeDocument/2006/relationships/ctrlProp" Target="../ctrlProps/ctrlProp702.xml"/><Relationship Id="rId911" Type="http://schemas.openxmlformats.org/officeDocument/2006/relationships/ctrlProp" Target="../ctrlProps/ctrlProp909.xml"/><Relationship Id="rId1127" Type="http://schemas.openxmlformats.org/officeDocument/2006/relationships/ctrlProp" Target="../ctrlProps/ctrlProp1125.xml"/><Relationship Id="rId1334" Type="http://schemas.openxmlformats.org/officeDocument/2006/relationships/ctrlProp" Target="../ctrlProps/ctrlProp1332.xml"/><Relationship Id="rId1541" Type="http://schemas.openxmlformats.org/officeDocument/2006/relationships/ctrlProp" Target="../ctrlProps/ctrlProp1539.xml"/><Relationship Id="rId40" Type="http://schemas.openxmlformats.org/officeDocument/2006/relationships/ctrlProp" Target="../ctrlProps/ctrlProp38.xml"/><Relationship Id="rId136" Type="http://schemas.openxmlformats.org/officeDocument/2006/relationships/ctrlProp" Target="../ctrlProps/ctrlProp134.xml"/><Relationship Id="rId343" Type="http://schemas.openxmlformats.org/officeDocument/2006/relationships/ctrlProp" Target="../ctrlProps/ctrlProp341.xml"/><Relationship Id="rId550" Type="http://schemas.openxmlformats.org/officeDocument/2006/relationships/ctrlProp" Target="../ctrlProps/ctrlProp548.xml"/><Relationship Id="rId788" Type="http://schemas.openxmlformats.org/officeDocument/2006/relationships/ctrlProp" Target="../ctrlProps/ctrlProp786.xml"/><Relationship Id="rId995" Type="http://schemas.openxmlformats.org/officeDocument/2006/relationships/ctrlProp" Target="../ctrlProps/ctrlProp993.xml"/><Relationship Id="rId1180" Type="http://schemas.openxmlformats.org/officeDocument/2006/relationships/ctrlProp" Target="../ctrlProps/ctrlProp1178.xml"/><Relationship Id="rId1401" Type="http://schemas.openxmlformats.org/officeDocument/2006/relationships/ctrlProp" Target="../ctrlProps/ctrlProp1399.xml"/><Relationship Id="rId203" Type="http://schemas.openxmlformats.org/officeDocument/2006/relationships/ctrlProp" Target="../ctrlProps/ctrlProp201.xml"/><Relationship Id="rId648" Type="http://schemas.openxmlformats.org/officeDocument/2006/relationships/ctrlProp" Target="../ctrlProps/ctrlProp646.xml"/><Relationship Id="rId855" Type="http://schemas.openxmlformats.org/officeDocument/2006/relationships/ctrlProp" Target="../ctrlProps/ctrlProp853.xml"/><Relationship Id="rId1040" Type="http://schemas.openxmlformats.org/officeDocument/2006/relationships/ctrlProp" Target="../ctrlProps/ctrlProp1038.xml"/><Relationship Id="rId1278" Type="http://schemas.openxmlformats.org/officeDocument/2006/relationships/ctrlProp" Target="../ctrlProps/ctrlProp1276.xml"/><Relationship Id="rId1485" Type="http://schemas.openxmlformats.org/officeDocument/2006/relationships/ctrlProp" Target="../ctrlProps/ctrlProp1483.xml"/><Relationship Id="rId287" Type="http://schemas.openxmlformats.org/officeDocument/2006/relationships/ctrlProp" Target="../ctrlProps/ctrlProp285.xml"/><Relationship Id="rId410" Type="http://schemas.openxmlformats.org/officeDocument/2006/relationships/ctrlProp" Target="../ctrlProps/ctrlProp408.xml"/><Relationship Id="rId494" Type="http://schemas.openxmlformats.org/officeDocument/2006/relationships/ctrlProp" Target="../ctrlProps/ctrlProp492.xml"/><Relationship Id="rId508" Type="http://schemas.openxmlformats.org/officeDocument/2006/relationships/ctrlProp" Target="../ctrlProps/ctrlProp506.xml"/><Relationship Id="rId715" Type="http://schemas.openxmlformats.org/officeDocument/2006/relationships/ctrlProp" Target="../ctrlProps/ctrlProp713.xml"/><Relationship Id="rId922" Type="http://schemas.openxmlformats.org/officeDocument/2006/relationships/ctrlProp" Target="../ctrlProps/ctrlProp920.xml"/><Relationship Id="rId1138" Type="http://schemas.openxmlformats.org/officeDocument/2006/relationships/ctrlProp" Target="../ctrlProps/ctrlProp1136.xml"/><Relationship Id="rId1345" Type="http://schemas.openxmlformats.org/officeDocument/2006/relationships/ctrlProp" Target="../ctrlProps/ctrlProp1343.xml"/><Relationship Id="rId1552" Type="http://schemas.openxmlformats.org/officeDocument/2006/relationships/ctrlProp" Target="../ctrlProps/ctrlProp1550.xml"/><Relationship Id="rId147" Type="http://schemas.openxmlformats.org/officeDocument/2006/relationships/ctrlProp" Target="../ctrlProps/ctrlProp145.xml"/><Relationship Id="rId354" Type="http://schemas.openxmlformats.org/officeDocument/2006/relationships/ctrlProp" Target="../ctrlProps/ctrlProp352.xml"/><Relationship Id="rId799" Type="http://schemas.openxmlformats.org/officeDocument/2006/relationships/ctrlProp" Target="../ctrlProps/ctrlProp797.xml"/><Relationship Id="rId1191" Type="http://schemas.openxmlformats.org/officeDocument/2006/relationships/ctrlProp" Target="../ctrlProps/ctrlProp1189.xml"/><Relationship Id="rId1205" Type="http://schemas.openxmlformats.org/officeDocument/2006/relationships/ctrlProp" Target="../ctrlProps/ctrlProp1203.xml"/><Relationship Id="rId51" Type="http://schemas.openxmlformats.org/officeDocument/2006/relationships/ctrlProp" Target="../ctrlProps/ctrlProp49.xml"/><Relationship Id="rId561" Type="http://schemas.openxmlformats.org/officeDocument/2006/relationships/ctrlProp" Target="../ctrlProps/ctrlProp559.xml"/><Relationship Id="rId659" Type="http://schemas.openxmlformats.org/officeDocument/2006/relationships/ctrlProp" Target="../ctrlProps/ctrlProp657.xml"/><Relationship Id="rId866" Type="http://schemas.openxmlformats.org/officeDocument/2006/relationships/ctrlProp" Target="../ctrlProps/ctrlProp864.xml"/><Relationship Id="rId1289" Type="http://schemas.openxmlformats.org/officeDocument/2006/relationships/ctrlProp" Target="../ctrlProps/ctrlProp1287.xml"/><Relationship Id="rId1412" Type="http://schemas.openxmlformats.org/officeDocument/2006/relationships/ctrlProp" Target="../ctrlProps/ctrlProp1410.xml"/><Relationship Id="rId1496" Type="http://schemas.openxmlformats.org/officeDocument/2006/relationships/ctrlProp" Target="../ctrlProps/ctrlProp1494.xml"/><Relationship Id="rId214" Type="http://schemas.openxmlformats.org/officeDocument/2006/relationships/ctrlProp" Target="../ctrlProps/ctrlProp212.xml"/><Relationship Id="rId298" Type="http://schemas.openxmlformats.org/officeDocument/2006/relationships/ctrlProp" Target="../ctrlProps/ctrlProp296.xml"/><Relationship Id="rId421" Type="http://schemas.openxmlformats.org/officeDocument/2006/relationships/ctrlProp" Target="../ctrlProps/ctrlProp419.xml"/><Relationship Id="rId519" Type="http://schemas.openxmlformats.org/officeDocument/2006/relationships/ctrlProp" Target="../ctrlProps/ctrlProp517.xml"/><Relationship Id="rId1051" Type="http://schemas.openxmlformats.org/officeDocument/2006/relationships/ctrlProp" Target="../ctrlProps/ctrlProp1049.xml"/><Relationship Id="rId1149" Type="http://schemas.openxmlformats.org/officeDocument/2006/relationships/ctrlProp" Target="../ctrlProps/ctrlProp1147.xml"/><Relationship Id="rId1356" Type="http://schemas.openxmlformats.org/officeDocument/2006/relationships/ctrlProp" Target="../ctrlProps/ctrlProp1354.xml"/><Relationship Id="rId158" Type="http://schemas.openxmlformats.org/officeDocument/2006/relationships/ctrlProp" Target="../ctrlProps/ctrlProp156.xml"/><Relationship Id="rId726" Type="http://schemas.openxmlformats.org/officeDocument/2006/relationships/ctrlProp" Target="../ctrlProps/ctrlProp724.xml"/><Relationship Id="rId933" Type="http://schemas.openxmlformats.org/officeDocument/2006/relationships/ctrlProp" Target="../ctrlProps/ctrlProp931.xml"/><Relationship Id="rId1009" Type="http://schemas.openxmlformats.org/officeDocument/2006/relationships/ctrlProp" Target="../ctrlProps/ctrlProp1007.xml"/><Relationship Id="rId62" Type="http://schemas.openxmlformats.org/officeDocument/2006/relationships/ctrlProp" Target="../ctrlProps/ctrlProp60.xml"/><Relationship Id="rId365" Type="http://schemas.openxmlformats.org/officeDocument/2006/relationships/ctrlProp" Target="../ctrlProps/ctrlProp363.xml"/><Relationship Id="rId572" Type="http://schemas.openxmlformats.org/officeDocument/2006/relationships/ctrlProp" Target="../ctrlProps/ctrlProp570.xml"/><Relationship Id="rId1216" Type="http://schemas.openxmlformats.org/officeDocument/2006/relationships/ctrlProp" Target="../ctrlProps/ctrlProp1214.xml"/><Relationship Id="rId1423" Type="http://schemas.openxmlformats.org/officeDocument/2006/relationships/ctrlProp" Target="../ctrlProps/ctrlProp1421.xml"/><Relationship Id="rId225" Type="http://schemas.openxmlformats.org/officeDocument/2006/relationships/ctrlProp" Target="../ctrlProps/ctrlProp223.xml"/><Relationship Id="rId432" Type="http://schemas.openxmlformats.org/officeDocument/2006/relationships/ctrlProp" Target="../ctrlProps/ctrlProp430.xml"/><Relationship Id="rId877" Type="http://schemas.openxmlformats.org/officeDocument/2006/relationships/ctrlProp" Target="../ctrlProps/ctrlProp875.xml"/><Relationship Id="rId1062" Type="http://schemas.openxmlformats.org/officeDocument/2006/relationships/ctrlProp" Target="../ctrlProps/ctrlProp1060.xml"/><Relationship Id="rId737" Type="http://schemas.openxmlformats.org/officeDocument/2006/relationships/ctrlProp" Target="../ctrlProps/ctrlProp735.xml"/><Relationship Id="rId944" Type="http://schemas.openxmlformats.org/officeDocument/2006/relationships/ctrlProp" Target="../ctrlProps/ctrlProp942.xml"/><Relationship Id="rId1367" Type="http://schemas.openxmlformats.org/officeDocument/2006/relationships/ctrlProp" Target="../ctrlProps/ctrlProp1365.xml"/><Relationship Id="rId73" Type="http://schemas.openxmlformats.org/officeDocument/2006/relationships/ctrlProp" Target="../ctrlProps/ctrlProp71.xml"/><Relationship Id="rId169" Type="http://schemas.openxmlformats.org/officeDocument/2006/relationships/ctrlProp" Target="../ctrlProps/ctrlProp167.xml"/><Relationship Id="rId376" Type="http://schemas.openxmlformats.org/officeDocument/2006/relationships/ctrlProp" Target="../ctrlProps/ctrlProp374.xml"/><Relationship Id="rId583" Type="http://schemas.openxmlformats.org/officeDocument/2006/relationships/ctrlProp" Target="../ctrlProps/ctrlProp581.xml"/><Relationship Id="rId790" Type="http://schemas.openxmlformats.org/officeDocument/2006/relationships/ctrlProp" Target="../ctrlProps/ctrlProp788.xml"/><Relationship Id="rId804" Type="http://schemas.openxmlformats.org/officeDocument/2006/relationships/ctrlProp" Target="../ctrlProps/ctrlProp802.xml"/><Relationship Id="rId1227" Type="http://schemas.openxmlformats.org/officeDocument/2006/relationships/ctrlProp" Target="../ctrlProps/ctrlProp1225.xml"/><Relationship Id="rId1434" Type="http://schemas.openxmlformats.org/officeDocument/2006/relationships/ctrlProp" Target="../ctrlProps/ctrlProp1432.xml"/><Relationship Id="rId4" Type="http://schemas.openxmlformats.org/officeDocument/2006/relationships/ctrlProp" Target="../ctrlProps/ctrlProp2.xml"/><Relationship Id="rId236" Type="http://schemas.openxmlformats.org/officeDocument/2006/relationships/ctrlProp" Target="../ctrlProps/ctrlProp234.xml"/><Relationship Id="rId443" Type="http://schemas.openxmlformats.org/officeDocument/2006/relationships/ctrlProp" Target="../ctrlProps/ctrlProp441.xml"/><Relationship Id="rId650" Type="http://schemas.openxmlformats.org/officeDocument/2006/relationships/ctrlProp" Target="../ctrlProps/ctrlProp648.xml"/><Relationship Id="rId888" Type="http://schemas.openxmlformats.org/officeDocument/2006/relationships/ctrlProp" Target="../ctrlProps/ctrlProp886.xml"/><Relationship Id="rId1073" Type="http://schemas.openxmlformats.org/officeDocument/2006/relationships/ctrlProp" Target="../ctrlProps/ctrlProp1071.xml"/><Relationship Id="rId1280" Type="http://schemas.openxmlformats.org/officeDocument/2006/relationships/ctrlProp" Target="../ctrlProps/ctrlProp1278.xml"/><Relationship Id="rId1501" Type="http://schemas.openxmlformats.org/officeDocument/2006/relationships/ctrlProp" Target="../ctrlProps/ctrlProp1499.xml"/><Relationship Id="rId303" Type="http://schemas.openxmlformats.org/officeDocument/2006/relationships/ctrlProp" Target="../ctrlProps/ctrlProp301.xml"/><Relationship Id="rId748" Type="http://schemas.openxmlformats.org/officeDocument/2006/relationships/ctrlProp" Target="../ctrlProps/ctrlProp746.xml"/><Relationship Id="rId955" Type="http://schemas.openxmlformats.org/officeDocument/2006/relationships/ctrlProp" Target="../ctrlProps/ctrlProp953.xml"/><Relationship Id="rId1140" Type="http://schemas.openxmlformats.org/officeDocument/2006/relationships/ctrlProp" Target="../ctrlProps/ctrlProp1138.xml"/><Relationship Id="rId1378" Type="http://schemas.openxmlformats.org/officeDocument/2006/relationships/ctrlProp" Target="../ctrlProps/ctrlProp1376.xml"/><Relationship Id="rId84" Type="http://schemas.openxmlformats.org/officeDocument/2006/relationships/ctrlProp" Target="../ctrlProps/ctrlProp82.xml"/><Relationship Id="rId387" Type="http://schemas.openxmlformats.org/officeDocument/2006/relationships/ctrlProp" Target="../ctrlProps/ctrlProp385.xml"/><Relationship Id="rId510" Type="http://schemas.openxmlformats.org/officeDocument/2006/relationships/ctrlProp" Target="../ctrlProps/ctrlProp508.xml"/><Relationship Id="rId594" Type="http://schemas.openxmlformats.org/officeDocument/2006/relationships/ctrlProp" Target="../ctrlProps/ctrlProp592.xml"/><Relationship Id="rId608" Type="http://schemas.openxmlformats.org/officeDocument/2006/relationships/ctrlProp" Target="../ctrlProps/ctrlProp606.xml"/><Relationship Id="rId815" Type="http://schemas.openxmlformats.org/officeDocument/2006/relationships/ctrlProp" Target="../ctrlProps/ctrlProp813.xml"/><Relationship Id="rId1238" Type="http://schemas.openxmlformats.org/officeDocument/2006/relationships/ctrlProp" Target="../ctrlProps/ctrlProp1236.xml"/><Relationship Id="rId1445" Type="http://schemas.openxmlformats.org/officeDocument/2006/relationships/ctrlProp" Target="../ctrlProps/ctrlProp1443.xml"/><Relationship Id="rId247" Type="http://schemas.openxmlformats.org/officeDocument/2006/relationships/ctrlProp" Target="../ctrlProps/ctrlProp245.xml"/><Relationship Id="rId899" Type="http://schemas.openxmlformats.org/officeDocument/2006/relationships/ctrlProp" Target="../ctrlProps/ctrlProp897.xml"/><Relationship Id="rId1000" Type="http://schemas.openxmlformats.org/officeDocument/2006/relationships/ctrlProp" Target="../ctrlProps/ctrlProp998.xml"/><Relationship Id="rId1084" Type="http://schemas.openxmlformats.org/officeDocument/2006/relationships/ctrlProp" Target="../ctrlProps/ctrlProp1082.xml"/><Relationship Id="rId1305" Type="http://schemas.openxmlformats.org/officeDocument/2006/relationships/ctrlProp" Target="../ctrlProps/ctrlProp1303.xml"/><Relationship Id="rId107" Type="http://schemas.openxmlformats.org/officeDocument/2006/relationships/ctrlProp" Target="../ctrlProps/ctrlProp105.xml"/><Relationship Id="rId454" Type="http://schemas.openxmlformats.org/officeDocument/2006/relationships/ctrlProp" Target="../ctrlProps/ctrlProp452.xml"/><Relationship Id="rId661" Type="http://schemas.openxmlformats.org/officeDocument/2006/relationships/ctrlProp" Target="../ctrlProps/ctrlProp659.xml"/><Relationship Id="rId759" Type="http://schemas.openxmlformats.org/officeDocument/2006/relationships/ctrlProp" Target="../ctrlProps/ctrlProp757.xml"/><Relationship Id="rId966" Type="http://schemas.openxmlformats.org/officeDocument/2006/relationships/ctrlProp" Target="../ctrlProps/ctrlProp964.xml"/><Relationship Id="rId1291" Type="http://schemas.openxmlformats.org/officeDocument/2006/relationships/ctrlProp" Target="../ctrlProps/ctrlProp1289.xml"/><Relationship Id="rId1389" Type="http://schemas.openxmlformats.org/officeDocument/2006/relationships/ctrlProp" Target="../ctrlProps/ctrlProp1387.xml"/><Relationship Id="rId1512" Type="http://schemas.openxmlformats.org/officeDocument/2006/relationships/ctrlProp" Target="../ctrlProps/ctrlProp1510.xml"/><Relationship Id="rId11" Type="http://schemas.openxmlformats.org/officeDocument/2006/relationships/ctrlProp" Target="../ctrlProps/ctrlProp9.xml"/><Relationship Id="rId314" Type="http://schemas.openxmlformats.org/officeDocument/2006/relationships/ctrlProp" Target="../ctrlProps/ctrlProp312.xml"/><Relationship Id="rId398" Type="http://schemas.openxmlformats.org/officeDocument/2006/relationships/ctrlProp" Target="../ctrlProps/ctrlProp396.xml"/><Relationship Id="rId521" Type="http://schemas.openxmlformats.org/officeDocument/2006/relationships/ctrlProp" Target="../ctrlProps/ctrlProp519.xml"/><Relationship Id="rId619" Type="http://schemas.openxmlformats.org/officeDocument/2006/relationships/ctrlProp" Target="../ctrlProps/ctrlProp617.xml"/><Relationship Id="rId1151" Type="http://schemas.openxmlformats.org/officeDocument/2006/relationships/ctrlProp" Target="../ctrlProps/ctrlProp1149.xml"/><Relationship Id="rId1249" Type="http://schemas.openxmlformats.org/officeDocument/2006/relationships/ctrlProp" Target="../ctrlProps/ctrlProp1247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826" Type="http://schemas.openxmlformats.org/officeDocument/2006/relationships/ctrlProp" Target="../ctrlProps/ctrlProp824.xml"/><Relationship Id="rId1011" Type="http://schemas.openxmlformats.org/officeDocument/2006/relationships/ctrlProp" Target="../ctrlProps/ctrlProp1009.xml"/><Relationship Id="rId1109" Type="http://schemas.openxmlformats.org/officeDocument/2006/relationships/ctrlProp" Target="../ctrlProps/ctrlProp1107.xml"/><Relationship Id="rId1456" Type="http://schemas.openxmlformats.org/officeDocument/2006/relationships/ctrlProp" Target="../ctrlProps/ctrlProp1454.xml"/><Relationship Id="rId258" Type="http://schemas.openxmlformats.org/officeDocument/2006/relationships/ctrlProp" Target="../ctrlProps/ctrlProp256.xml"/><Relationship Id="rId465" Type="http://schemas.openxmlformats.org/officeDocument/2006/relationships/ctrlProp" Target="../ctrlProps/ctrlProp463.xml"/><Relationship Id="rId672" Type="http://schemas.openxmlformats.org/officeDocument/2006/relationships/ctrlProp" Target="../ctrlProps/ctrlProp670.xml"/><Relationship Id="rId1095" Type="http://schemas.openxmlformats.org/officeDocument/2006/relationships/ctrlProp" Target="../ctrlProps/ctrlProp1093.xml"/><Relationship Id="rId1316" Type="http://schemas.openxmlformats.org/officeDocument/2006/relationships/ctrlProp" Target="../ctrlProps/ctrlProp1314.xml"/><Relationship Id="rId1523" Type="http://schemas.openxmlformats.org/officeDocument/2006/relationships/ctrlProp" Target="../ctrlProps/ctrlProp1521.xml"/><Relationship Id="rId22" Type="http://schemas.openxmlformats.org/officeDocument/2006/relationships/ctrlProp" Target="../ctrlProps/ctrlProp20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532" Type="http://schemas.openxmlformats.org/officeDocument/2006/relationships/ctrlProp" Target="../ctrlProps/ctrlProp530.xml"/><Relationship Id="rId977" Type="http://schemas.openxmlformats.org/officeDocument/2006/relationships/ctrlProp" Target="../ctrlProps/ctrlProp975.xml"/><Relationship Id="rId1162" Type="http://schemas.openxmlformats.org/officeDocument/2006/relationships/ctrlProp" Target="../ctrlProps/ctrlProp1160.xml"/><Relationship Id="rId171" Type="http://schemas.openxmlformats.org/officeDocument/2006/relationships/ctrlProp" Target="../ctrlProps/ctrlProp169.xml"/><Relationship Id="rId837" Type="http://schemas.openxmlformats.org/officeDocument/2006/relationships/ctrlProp" Target="../ctrlProps/ctrlProp835.xml"/><Relationship Id="rId1022" Type="http://schemas.openxmlformats.org/officeDocument/2006/relationships/ctrlProp" Target="../ctrlProps/ctrlProp1020.xml"/><Relationship Id="rId1467" Type="http://schemas.openxmlformats.org/officeDocument/2006/relationships/ctrlProp" Target="../ctrlProps/ctrlProp1465.xml"/><Relationship Id="rId269" Type="http://schemas.openxmlformats.org/officeDocument/2006/relationships/ctrlProp" Target="../ctrlProps/ctrlProp267.xml"/><Relationship Id="rId476" Type="http://schemas.openxmlformats.org/officeDocument/2006/relationships/ctrlProp" Target="../ctrlProps/ctrlProp474.xml"/><Relationship Id="rId683" Type="http://schemas.openxmlformats.org/officeDocument/2006/relationships/ctrlProp" Target="../ctrlProps/ctrlProp681.xml"/><Relationship Id="rId890" Type="http://schemas.openxmlformats.org/officeDocument/2006/relationships/ctrlProp" Target="../ctrlProps/ctrlProp888.xml"/><Relationship Id="rId904" Type="http://schemas.openxmlformats.org/officeDocument/2006/relationships/ctrlProp" Target="../ctrlProps/ctrlProp902.xml"/><Relationship Id="rId1327" Type="http://schemas.openxmlformats.org/officeDocument/2006/relationships/ctrlProp" Target="../ctrlProps/ctrlProp1325.xml"/><Relationship Id="rId1534" Type="http://schemas.openxmlformats.org/officeDocument/2006/relationships/ctrlProp" Target="../ctrlProps/ctrlProp1532.xml"/><Relationship Id="rId33" Type="http://schemas.openxmlformats.org/officeDocument/2006/relationships/ctrlProp" Target="../ctrlProps/ctrlProp31.xml"/><Relationship Id="rId129" Type="http://schemas.openxmlformats.org/officeDocument/2006/relationships/ctrlProp" Target="../ctrlProps/ctrlProp127.xml"/><Relationship Id="rId336" Type="http://schemas.openxmlformats.org/officeDocument/2006/relationships/ctrlProp" Target="../ctrlProps/ctrlProp334.xml"/><Relationship Id="rId543" Type="http://schemas.openxmlformats.org/officeDocument/2006/relationships/ctrlProp" Target="../ctrlProps/ctrlProp541.xml"/><Relationship Id="rId988" Type="http://schemas.openxmlformats.org/officeDocument/2006/relationships/ctrlProp" Target="../ctrlProps/ctrlProp986.xml"/><Relationship Id="rId1173" Type="http://schemas.openxmlformats.org/officeDocument/2006/relationships/ctrlProp" Target="../ctrlProps/ctrlProp1171.xml"/><Relationship Id="rId1380" Type="http://schemas.openxmlformats.org/officeDocument/2006/relationships/ctrlProp" Target="../ctrlProps/ctrlProp1378.xml"/><Relationship Id="rId182" Type="http://schemas.openxmlformats.org/officeDocument/2006/relationships/ctrlProp" Target="../ctrlProps/ctrlProp180.xml"/><Relationship Id="rId403" Type="http://schemas.openxmlformats.org/officeDocument/2006/relationships/ctrlProp" Target="../ctrlProps/ctrlProp401.xml"/><Relationship Id="rId750" Type="http://schemas.openxmlformats.org/officeDocument/2006/relationships/ctrlProp" Target="../ctrlProps/ctrlProp748.xml"/><Relationship Id="rId848" Type="http://schemas.openxmlformats.org/officeDocument/2006/relationships/ctrlProp" Target="../ctrlProps/ctrlProp846.xml"/><Relationship Id="rId1033" Type="http://schemas.openxmlformats.org/officeDocument/2006/relationships/ctrlProp" Target="../ctrlProps/ctrlProp1031.xml"/><Relationship Id="rId1478" Type="http://schemas.openxmlformats.org/officeDocument/2006/relationships/ctrlProp" Target="../ctrlProps/ctrlProp1476.xml"/><Relationship Id="rId487" Type="http://schemas.openxmlformats.org/officeDocument/2006/relationships/ctrlProp" Target="../ctrlProps/ctrlProp485.xml"/><Relationship Id="rId610" Type="http://schemas.openxmlformats.org/officeDocument/2006/relationships/ctrlProp" Target="../ctrlProps/ctrlProp608.xml"/><Relationship Id="rId694" Type="http://schemas.openxmlformats.org/officeDocument/2006/relationships/ctrlProp" Target="../ctrlProps/ctrlProp692.xml"/><Relationship Id="rId708" Type="http://schemas.openxmlformats.org/officeDocument/2006/relationships/ctrlProp" Target="../ctrlProps/ctrlProp706.xml"/><Relationship Id="rId915" Type="http://schemas.openxmlformats.org/officeDocument/2006/relationships/ctrlProp" Target="../ctrlProps/ctrlProp913.xml"/><Relationship Id="rId1240" Type="http://schemas.openxmlformats.org/officeDocument/2006/relationships/ctrlProp" Target="../ctrlProps/ctrlProp1238.xml"/><Relationship Id="rId1338" Type="http://schemas.openxmlformats.org/officeDocument/2006/relationships/ctrlProp" Target="../ctrlProps/ctrlProp1336.xml"/><Relationship Id="rId1545" Type="http://schemas.openxmlformats.org/officeDocument/2006/relationships/ctrlProp" Target="../ctrlProps/ctrlProp1543.xml"/><Relationship Id="rId347" Type="http://schemas.openxmlformats.org/officeDocument/2006/relationships/ctrlProp" Target="../ctrlProps/ctrlProp345.xml"/><Relationship Id="rId999" Type="http://schemas.openxmlformats.org/officeDocument/2006/relationships/ctrlProp" Target="../ctrlProps/ctrlProp997.xml"/><Relationship Id="rId1100" Type="http://schemas.openxmlformats.org/officeDocument/2006/relationships/ctrlProp" Target="../ctrlProps/ctrlProp1098.xml"/><Relationship Id="rId1184" Type="http://schemas.openxmlformats.org/officeDocument/2006/relationships/ctrlProp" Target="../ctrlProps/ctrlProp1182.xml"/><Relationship Id="rId1405" Type="http://schemas.openxmlformats.org/officeDocument/2006/relationships/ctrlProp" Target="../ctrlProps/ctrlProp1403.xml"/><Relationship Id="rId44" Type="http://schemas.openxmlformats.org/officeDocument/2006/relationships/ctrlProp" Target="../ctrlProps/ctrlProp42.xml"/><Relationship Id="rId554" Type="http://schemas.openxmlformats.org/officeDocument/2006/relationships/ctrlProp" Target="../ctrlProps/ctrlProp552.xml"/><Relationship Id="rId761" Type="http://schemas.openxmlformats.org/officeDocument/2006/relationships/ctrlProp" Target="../ctrlProps/ctrlProp759.xml"/><Relationship Id="rId859" Type="http://schemas.openxmlformats.org/officeDocument/2006/relationships/ctrlProp" Target="../ctrlProps/ctrlProp857.xml"/><Relationship Id="rId1391" Type="http://schemas.openxmlformats.org/officeDocument/2006/relationships/ctrlProp" Target="../ctrlProps/ctrlProp1389.xml"/><Relationship Id="rId1489" Type="http://schemas.openxmlformats.org/officeDocument/2006/relationships/ctrlProp" Target="../ctrlProps/ctrlProp1487.xml"/><Relationship Id="rId193" Type="http://schemas.openxmlformats.org/officeDocument/2006/relationships/ctrlProp" Target="../ctrlProps/ctrlProp191.xml"/><Relationship Id="rId207" Type="http://schemas.openxmlformats.org/officeDocument/2006/relationships/ctrlProp" Target="../ctrlProps/ctrlProp205.xml"/><Relationship Id="rId414" Type="http://schemas.openxmlformats.org/officeDocument/2006/relationships/ctrlProp" Target="../ctrlProps/ctrlProp412.xml"/><Relationship Id="rId498" Type="http://schemas.openxmlformats.org/officeDocument/2006/relationships/ctrlProp" Target="../ctrlProps/ctrlProp496.xml"/><Relationship Id="rId621" Type="http://schemas.openxmlformats.org/officeDocument/2006/relationships/ctrlProp" Target="../ctrlProps/ctrlProp619.xml"/><Relationship Id="rId1044" Type="http://schemas.openxmlformats.org/officeDocument/2006/relationships/ctrlProp" Target="../ctrlProps/ctrlProp1042.xml"/><Relationship Id="rId1251" Type="http://schemas.openxmlformats.org/officeDocument/2006/relationships/ctrlProp" Target="../ctrlProps/ctrlProp1249.xml"/><Relationship Id="rId1349" Type="http://schemas.openxmlformats.org/officeDocument/2006/relationships/ctrlProp" Target="../ctrlProps/ctrlProp1347.xml"/><Relationship Id="rId260" Type="http://schemas.openxmlformats.org/officeDocument/2006/relationships/ctrlProp" Target="../ctrlProps/ctrlProp258.xml"/><Relationship Id="rId719" Type="http://schemas.openxmlformats.org/officeDocument/2006/relationships/ctrlProp" Target="../ctrlProps/ctrlProp717.xml"/><Relationship Id="rId926" Type="http://schemas.openxmlformats.org/officeDocument/2006/relationships/ctrlProp" Target="../ctrlProps/ctrlProp924.xml"/><Relationship Id="rId1111" Type="http://schemas.openxmlformats.org/officeDocument/2006/relationships/ctrlProp" Target="../ctrlProps/ctrlProp1109.xml"/><Relationship Id="rId55" Type="http://schemas.openxmlformats.org/officeDocument/2006/relationships/ctrlProp" Target="../ctrlProps/ctrlProp53.xml"/><Relationship Id="rId120" Type="http://schemas.openxmlformats.org/officeDocument/2006/relationships/ctrlProp" Target="../ctrlProps/ctrlProp118.xml"/><Relationship Id="rId358" Type="http://schemas.openxmlformats.org/officeDocument/2006/relationships/ctrlProp" Target="../ctrlProps/ctrlProp356.xml"/><Relationship Id="rId565" Type="http://schemas.openxmlformats.org/officeDocument/2006/relationships/ctrlProp" Target="../ctrlProps/ctrlProp563.xml"/><Relationship Id="rId772" Type="http://schemas.openxmlformats.org/officeDocument/2006/relationships/ctrlProp" Target="../ctrlProps/ctrlProp770.xml"/><Relationship Id="rId1195" Type="http://schemas.openxmlformats.org/officeDocument/2006/relationships/ctrlProp" Target="../ctrlProps/ctrlProp1193.xml"/><Relationship Id="rId1209" Type="http://schemas.openxmlformats.org/officeDocument/2006/relationships/ctrlProp" Target="../ctrlProps/ctrlProp1207.xml"/><Relationship Id="rId1416" Type="http://schemas.openxmlformats.org/officeDocument/2006/relationships/ctrlProp" Target="../ctrlProps/ctrlProp1414.xml"/><Relationship Id="rId218" Type="http://schemas.openxmlformats.org/officeDocument/2006/relationships/ctrlProp" Target="../ctrlProps/ctrlProp216.xml"/><Relationship Id="rId425" Type="http://schemas.openxmlformats.org/officeDocument/2006/relationships/ctrlProp" Target="../ctrlProps/ctrlProp423.xml"/><Relationship Id="rId632" Type="http://schemas.openxmlformats.org/officeDocument/2006/relationships/ctrlProp" Target="../ctrlProps/ctrlProp630.xml"/><Relationship Id="rId1055" Type="http://schemas.openxmlformats.org/officeDocument/2006/relationships/ctrlProp" Target="../ctrlProps/ctrlProp1053.xml"/><Relationship Id="rId1262" Type="http://schemas.openxmlformats.org/officeDocument/2006/relationships/ctrlProp" Target="../ctrlProps/ctrlProp1260.xml"/><Relationship Id="rId271" Type="http://schemas.openxmlformats.org/officeDocument/2006/relationships/ctrlProp" Target="../ctrlProps/ctrlProp269.xml"/><Relationship Id="rId937" Type="http://schemas.openxmlformats.org/officeDocument/2006/relationships/ctrlProp" Target="../ctrlProps/ctrlProp935.xml"/><Relationship Id="rId1122" Type="http://schemas.openxmlformats.org/officeDocument/2006/relationships/ctrlProp" Target="../ctrlProps/ctrlProp1120.xml"/><Relationship Id="rId66" Type="http://schemas.openxmlformats.org/officeDocument/2006/relationships/ctrlProp" Target="../ctrlProps/ctrlProp64.xml"/><Relationship Id="rId131" Type="http://schemas.openxmlformats.org/officeDocument/2006/relationships/ctrlProp" Target="../ctrlProps/ctrlProp129.xml"/><Relationship Id="rId369" Type="http://schemas.openxmlformats.org/officeDocument/2006/relationships/ctrlProp" Target="../ctrlProps/ctrlProp367.xml"/><Relationship Id="rId576" Type="http://schemas.openxmlformats.org/officeDocument/2006/relationships/ctrlProp" Target="../ctrlProps/ctrlProp574.xml"/><Relationship Id="rId783" Type="http://schemas.openxmlformats.org/officeDocument/2006/relationships/ctrlProp" Target="../ctrlProps/ctrlProp781.xml"/><Relationship Id="rId990" Type="http://schemas.openxmlformats.org/officeDocument/2006/relationships/ctrlProp" Target="../ctrlProps/ctrlProp988.xml"/><Relationship Id="rId1427" Type="http://schemas.openxmlformats.org/officeDocument/2006/relationships/ctrlProp" Target="../ctrlProps/ctrlProp1425.xml"/><Relationship Id="rId229" Type="http://schemas.openxmlformats.org/officeDocument/2006/relationships/ctrlProp" Target="../ctrlProps/ctrlProp227.xml"/><Relationship Id="rId436" Type="http://schemas.openxmlformats.org/officeDocument/2006/relationships/ctrlProp" Target="../ctrlProps/ctrlProp434.xml"/><Relationship Id="rId643" Type="http://schemas.openxmlformats.org/officeDocument/2006/relationships/ctrlProp" Target="../ctrlProps/ctrlProp641.xml"/><Relationship Id="rId1066" Type="http://schemas.openxmlformats.org/officeDocument/2006/relationships/ctrlProp" Target="../ctrlProps/ctrlProp1064.xml"/><Relationship Id="rId1273" Type="http://schemas.openxmlformats.org/officeDocument/2006/relationships/ctrlProp" Target="../ctrlProps/ctrlProp1271.xml"/><Relationship Id="rId1480" Type="http://schemas.openxmlformats.org/officeDocument/2006/relationships/ctrlProp" Target="../ctrlProps/ctrlProp1478.xml"/><Relationship Id="rId850" Type="http://schemas.openxmlformats.org/officeDocument/2006/relationships/ctrlProp" Target="../ctrlProps/ctrlProp848.xml"/><Relationship Id="rId948" Type="http://schemas.openxmlformats.org/officeDocument/2006/relationships/ctrlProp" Target="../ctrlProps/ctrlProp946.xml"/><Relationship Id="rId1133" Type="http://schemas.openxmlformats.org/officeDocument/2006/relationships/ctrlProp" Target="../ctrlProps/ctrlProp1131.xml"/><Relationship Id="rId77" Type="http://schemas.openxmlformats.org/officeDocument/2006/relationships/ctrlProp" Target="../ctrlProps/ctrlProp75.xml"/><Relationship Id="rId282" Type="http://schemas.openxmlformats.org/officeDocument/2006/relationships/ctrlProp" Target="../ctrlProps/ctrlProp280.xml"/><Relationship Id="rId503" Type="http://schemas.openxmlformats.org/officeDocument/2006/relationships/ctrlProp" Target="../ctrlProps/ctrlProp501.xml"/><Relationship Id="rId587" Type="http://schemas.openxmlformats.org/officeDocument/2006/relationships/ctrlProp" Target="../ctrlProps/ctrlProp585.xml"/><Relationship Id="rId710" Type="http://schemas.openxmlformats.org/officeDocument/2006/relationships/ctrlProp" Target="../ctrlProps/ctrlProp708.xml"/><Relationship Id="rId808" Type="http://schemas.openxmlformats.org/officeDocument/2006/relationships/ctrlProp" Target="../ctrlProps/ctrlProp806.xml"/><Relationship Id="rId1340" Type="http://schemas.openxmlformats.org/officeDocument/2006/relationships/ctrlProp" Target="../ctrlProps/ctrlProp1338.xml"/><Relationship Id="rId1438" Type="http://schemas.openxmlformats.org/officeDocument/2006/relationships/ctrlProp" Target="../ctrlProps/ctrlProp1436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447" Type="http://schemas.openxmlformats.org/officeDocument/2006/relationships/ctrlProp" Target="../ctrlProps/ctrlProp445.xml"/><Relationship Id="rId794" Type="http://schemas.openxmlformats.org/officeDocument/2006/relationships/ctrlProp" Target="../ctrlProps/ctrlProp792.xml"/><Relationship Id="rId1077" Type="http://schemas.openxmlformats.org/officeDocument/2006/relationships/ctrlProp" Target="../ctrlProps/ctrlProp1075.xml"/><Relationship Id="rId1200" Type="http://schemas.openxmlformats.org/officeDocument/2006/relationships/ctrlProp" Target="../ctrlProps/ctrlProp1198.xml"/><Relationship Id="rId654" Type="http://schemas.openxmlformats.org/officeDocument/2006/relationships/ctrlProp" Target="../ctrlProps/ctrlProp652.xml"/><Relationship Id="rId861" Type="http://schemas.openxmlformats.org/officeDocument/2006/relationships/ctrlProp" Target="../ctrlProps/ctrlProp859.xml"/><Relationship Id="rId959" Type="http://schemas.openxmlformats.org/officeDocument/2006/relationships/ctrlProp" Target="../ctrlProps/ctrlProp957.xml"/><Relationship Id="rId1284" Type="http://schemas.openxmlformats.org/officeDocument/2006/relationships/ctrlProp" Target="../ctrlProps/ctrlProp1282.xml"/><Relationship Id="rId1491" Type="http://schemas.openxmlformats.org/officeDocument/2006/relationships/ctrlProp" Target="../ctrlProps/ctrlProp1489.xml"/><Relationship Id="rId1505" Type="http://schemas.openxmlformats.org/officeDocument/2006/relationships/ctrlProp" Target="../ctrlProps/ctrlProp1503.xml"/><Relationship Id="rId293" Type="http://schemas.openxmlformats.org/officeDocument/2006/relationships/ctrlProp" Target="../ctrlProps/ctrlProp291.xml"/><Relationship Id="rId307" Type="http://schemas.openxmlformats.org/officeDocument/2006/relationships/ctrlProp" Target="../ctrlProps/ctrlProp305.xml"/><Relationship Id="rId514" Type="http://schemas.openxmlformats.org/officeDocument/2006/relationships/ctrlProp" Target="../ctrlProps/ctrlProp512.xml"/><Relationship Id="rId721" Type="http://schemas.openxmlformats.org/officeDocument/2006/relationships/ctrlProp" Target="../ctrlProps/ctrlProp719.xml"/><Relationship Id="rId1144" Type="http://schemas.openxmlformats.org/officeDocument/2006/relationships/ctrlProp" Target="../ctrlProps/ctrlProp1142.xml"/><Relationship Id="rId1351" Type="http://schemas.openxmlformats.org/officeDocument/2006/relationships/ctrlProp" Target="../ctrlProps/ctrlProp1349.xml"/><Relationship Id="rId1449" Type="http://schemas.openxmlformats.org/officeDocument/2006/relationships/ctrlProp" Target="../ctrlProps/ctrlProp1447.xml"/><Relationship Id="rId88" Type="http://schemas.openxmlformats.org/officeDocument/2006/relationships/ctrlProp" Target="../ctrlProps/ctrlProp86.xml"/><Relationship Id="rId153" Type="http://schemas.openxmlformats.org/officeDocument/2006/relationships/ctrlProp" Target="../ctrlProps/ctrlProp151.xml"/><Relationship Id="rId360" Type="http://schemas.openxmlformats.org/officeDocument/2006/relationships/ctrlProp" Target="../ctrlProps/ctrlProp358.xml"/><Relationship Id="rId598" Type="http://schemas.openxmlformats.org/officeDocument/2006/relationships/ctrlProp" Target="../ctrlProps/ctrlProp596.xml"/><Relationship Id="rId819" Type="http://schemas.openxmlformats.org/officeDocument/2006/relationships/ctrlProp" Target="../ctrlProps/ctrlProp817.xml"/><Relationship Id="rId1004" Type="http://schemas.openxmlformats.org/officeDocument/2006/relationships/ctrlProp" Target="../ctrlProps/ctrlProp1002.xml"/><Relationship Id="rId1211" Type="http://schemas.openxmlformats.org/officeDocument/2006/relationships/ctrlProp" Target="../ctrlProps/ctrlProp1209.xml"/><Relationship Id="rId220" Type="http://schemas.openxmlformats.org/officeDocument/2006/relationships/ctrlProp" Target="../ctrlProps/ctrlProp218.xml"/><Relationship Id="rId458" Type="http://schemas.openxmlformats.org/officeDocument/2006/relationships/ctrlProp" Target="../ctrlProps/ctrlProp456.xml"/><Relationship Id="rId665" Type="http://schemas.openxmlformats.org/officeDocument/2006/relationships/ctrlProp" Target="../ctrlProps/ctrlProp663.xml"/><Relationship Id="rId872" Type="http://schemas.openxmlformats.org/officeDocument/2006/relationships/ctrlProp" Target="../ctrlProps/ctrlProp870.xml"/><Relationship Id="rId1088" Type="http://schemas.openxmlformats.org/officeDocument/2006/relationships/ctrlProp" Target="../ctrlProps/ctrlProp1086.xml"/><Relationship Id="rId1295" Type="http://schemas.openxmlformats.org/officeDocument/2006/relationships/ctrlProp" Target="../ctrlProps/ctrlProp1293.xml"/><Relationship Id="rId1309" Type="http://schemas.openxmlformats.org/officeDocument/2006/relationships/ctrlProp" Target="../ctrlProps/ctrlProp1307.xml"/><Relationship Id="rId1516" Type="http://schemas.openxmlformats.org/officeDocument/2006/relationships/ctrlProp" Target="../ctrlProps/ctrlProp1514.xml"/><Relationship Id="rId15" Type="http://schemas.openxmlformats.org/officeDocument/2006/relationships/ctrlProp" Target="../ctrlProps/ctrlProp13.xml"/><Relationship Id="rId318" Type="http://schemas.openxmlformats.org/officeDocument/2006/relationships/ctrlProp" Target="../ctrlProps/ctrlProp316.xml"/><Relationship Id="rId525" Type="http://schemas.openxmlformats.org/officeDocument/2006/relationships/ctrlProp" Target="../ctrlProps/ctrlProp523.xml"/><Relationship Id="rId732" Type="http://schemas.openxmlformats.org/officeDocument/2006/relationships/ctrlProp" Target="../ctrlProps/ctrlProp730.xml"/><Relationship Id="rId1155" Type="http://schemas.openxmlformats.org/officeDocument/2006/relationships/ctrlProp" Target="../ctrlProps/ctrlProp1153.xml"/><Relationship Id="rId1362" Type="http://schemas.openxmlformats.org/officeDocument/2006/relationships/ctrlProp" Target="../ctrlProps/ctrlProp1360.xml"/><Relationship Id="rId99" Type="http://schemas.openxmlformats.org/officeDocument/2006/relationships/ctrlProp" Target="../ctrlProps/ctrlProp97.xml"/><Relationship Id="rId164" Type="http://schemas.openxmlformats.org/officeDocument/2006/relationships/ctrlProp" Target="../ctrlProps/ctrlProp162.xml"/><Relationship Id="rId371" Type="http://schemas.openxmlformats.org/officeDocument/2006/relationships/ctrlProp" Target="../ctrlProps/ctrlProp369.xml"/><Relationship Id="rId1015" Type="http://schemas.openxmlformats.org/officeDocument/2006/relationships/ctrlProp" Target="../ctrlProps/ctrlProp1013.xml"/><Relationship Id="rId1222" Type="http://schemas.openxmlformats.org/officeDocument/2006/relationships/ctrlProp" Target="../ctrlProps/ctrlProp1220.xml"/><Relationship Id="rId469" Type="http://schemas.openxmlformats.org/officeDocument/2006/relationships/ctrlProp" Target="../ctrlProps/ctrlProp467.xml"/><Relationship Id="rId676" Type="http://schemas.openxmlformats.org/officeDocument/2006/relationships/ctrlProp" Target="../ctrlProps/ctrlProp674.xml"/><Relationship Id="rId883" Type="http://schemas.openxmlformats.org/officeDocument/2006/relationships/ctrlProp" Target="../ctrlProps/ctrlProp881.xml"/><Relationship Id="rId1099" Type="http://schemas.openxmlformats.org/officeDocument/2006/relationships/ctrlProp" Target="../ctrlProps/ctrlProp1097.xml"/><Relationship Id="rId1527" Type="http://schemas.openxmlformats.org/officeDocument/2006/relationships/ctrlProp" Target="../ctrlProps/ctrlProp1525.xml"/><Relationship Id="rId26" Type="http://schemas.openxmlformats.org/officeDocument/2006/relationships/ctrlProp" Target="../ctrlProps/ctrlProp24.xml"/><Relationship Id="rId231" Type="http://schemas.openxmlformats.org/officeDocument/2006/relationships/ctrlProp" Target="../ctrlProps/ctrlProp229.xml"/><Relationship Id="rId329" Type="http://schemas.openxmlformats.org/officeDocument/2006/relationships/ctrlProp" Target="../ctrlProps/ctrlProp327.xml"/><Relationship Id="rId536" Type="http://schemas.openxmlformats.org/officeDocument/2006/relationships/ctrlProp" Target="../ctrlProps/ctrlProp534.xml"/><Relationship Id="rId1166" Type="http://schemas.openxmlformats.org/officeDocument/2006/relationships/ctrlProp" Target="../ctrlProps/ctrlProp1164.xml"/><Relationship Id="rId1373" Type="http://schemas.openxmlformats.org/officeDocument/2006/relationships/ctrlProp" Target="../ctrlProps/ctrlProp1371.xml"/><Relationship Id="rId175" Type="http://schemas.openxmlformats.org/officeDocument/2006/relationships/ctrlProp" Target="../ctrlProps/ctrlProp173.xml"/><Relationship Id="rId743" Type="http://schemas.openxmlformats.org/officeDocument/2006/relationships/ctrlProp" Target="../ctrlProps/ctrlProp741.xml"/><Relationship Id="rId950" Type="http://schemas.openxmlformats.org/officeDocument/2006/relationships/ctrlProp" Target="../ctrlProps/ctrlProp948.xml"/><Relationship Id="rId1026" Type="http://schemas.openxmlformats.org/officeDocument/2006/relationships/ctrlProp" Target="../ctrlProps/ctrlProp1024.xml"/><Relationship Id="rId382" Type="http://schemas.openxmlformats.org/officeDocument/2006/relationships/ctrlProp" Target="../ctrlProps/ctrlProp380.xml"/><Relationship Id="rId603" Type="http://schemas.openxmlformats.org/officeDocument/2006/relationships/ctrlProp" Target="../ctrlProps/ctrlProp601.xml"/><Relationship Id="rId687" Type="http://schemas.openxmlformats.org/officeDocument/2006/relationships/ctrlProp" Target="../ctrlProps/ctrlProp685.xml"/><Relationship Id="rId810" Type="http://schemas.openxmlformats.org/officeDocument/2006/relationships/ctrlProp" Target="../ctrlProps/ctrlProp808.xml"/><Relationship Id="rId908" Type="http://schemas.openxmlformats.org/officeDocument/2006/relationships/ctrlProp" Target="../ctrlProps/ctrlProp906.xml"/><Relationship Id="rId1233" Type="http://schemas.openxmlformats.org/officeDocument/2006/relationships/ctrlProp" Target="../ctrlProps/ctrlProp1231.xml"/><Relationship Id="rId1440" Type="http://schemas.openxmlformats.org/officeDocument/2006/relationships/ctrlProp" Target="../ctrlProps/ctrlProp1438.xml"/><Relationship Id="rId1538" Type="http://schemas.openxmlformats.org/officeDocument/2006/relationships/ctrlProp" Target="../ctrlProps/ctrlProp1536.xml"/><Relationship Id="rId242" Type="http://schemas.openxmlformats.org/officeDocument/2006/relationships/ctrlProp" Target="../ctrlProps/ctrlProp240.xml"/><Relationship Id="rId894" Type="http://schemas.openxmlformats.org/officeDocument/2006/relationships/ctrlProp" Target="../ctrlProps/ctrlProp892.xml"/><Relationship Id="rId1177" Type="http://schemas.openxmlformats.org/officeDocument/2006/relationships/ctrlProp" Target="../ctrlProps/ctrlProp1175.xml"/><Relationship Id="rId1300" Type="http://schemas.openxmlformats.org/officeDocument/2006/relationships/ctrlProp" Target="../ctrlProps/ctrlProp1298.xml"/><Relationship Id="rId37" Type="http://schemas.openxmlformats.org/officeDocument/2006/relationships/ctrlProp" Target="../ctrlProps/ctrlProp35.xml"/><Relationship Id="rId102" Type="http://schemas.openxmlformats.org/officeDocument/2006/relationships/ctrlProp" Target="../ctrlProps/ctrlProp100.xml"/><Relationship Id="rId547" Type="http://schemas.openxmlformats.org/officeDocument/2006/relationships/ctrlProp" Target="../ctrlProps/ctrlProp545.xml"/><Relationship Id="rId754" Type="http://schemas.openxmlformats.org/officeDocument/2006/relationships/ctrlProp" Target="../ctrlProps/ctrlProp752.xml"/><Relationship Id="rId961" Type="http://schemas.openxmlformats.org/officeDocument/2006/relationships/ctrlProp" Target="../ctrlProps/ctrlProp959.xml"/><Relationship Id="rId1384" Type="http://schemas.openxmlformats.org/officeDocument/2006/relationships/ctrlProp" Target="../ctrlProps/ctrlProp1382.xml"/><Relationship Id="rId90" Type="http://schemas.openxmlformats.org/officeDocument/2006/relationships/ctrlProp" Target="../ctrlProps/ctrlProp88.xml"/><Relationship Id="rId186" Type="http://schemas.openxmlformats.org/officeDocument/2006/relationships/ctrlProp" Target="../ctrlProps/ctrlProp184.xml"/><Relationship Id="rId393" Type="http://schemas.openxmlformats.org/officeDocument/2006/relationships/ctrlProp" Target="../ctrlProps/ctrlProp391.xml"/><Relationship Id="rId407" Type="http://schemas.openxmlformats.org/officeDocument/2006/relationships/ctrlProp" Target="../ctrlProps/ctrlProp405.xml"/><Relationship Id="rId614" Type="http://schemas.openxmlformats.org/officeDocument/2006/relationships/ctrlProp" Target="../ctrlProps/ctrlProp612.xml"/><Relationship Id="rId821" Type="http://schemas.openxmlformats.org/officeDocument/2006/relationships/ctrlProp" Target="../ctrlProps/ctrlProp819.xml"/><Relationship Id="rId1037" Type="http://schemas.openxmlformats.org/officeDocument/2006/relationships/ctrlProp" Target="../ctrlProps/ctrlProp1035.xml"/><Relationship Id="rId1244" Type="http://schemas.openxmlformats.org/officeDocument/2006/relationships/ctrlProp" Target="../ctrlProps/ctrlProp1242.xml"/><Relationship Id="rId1451" Type="http://schemas.openxmlformats.org/officeDocument/2006/relationships/ctrlProp" Target="../ctrlProps/ctrlProp1449.xml"/><Relationship Id="rId253" Type="http://schemas.openxmlformats.org/officeDocument/2006/relationships/ctrlProp" Target="../ctrlProps/ctrlProp251.xml"/><Relationship Id="rId460" Type="http://schemas.openxmlformats.org/officeDocument/2006/relationships/ctrlProp" Target="../ctrlProps/ctrlProp458.xml"/><Relationship Id="rId698" Type="http://schemas.openxmlformats.org/officeDocument/2006/relationships/ctrlProp" Target="../ctrlProps/ctrlProp696.xml"/><Relationship Id="rId919" Type="http://schemas.openxmlformats.org/officeDocument/2006/relationships/ctrlProp" Target="../ctrlProps/ctrlProp917.xml"/><Relationship Id="rId1090" Type="http://schemas.openxmlformats.org/officeDocument/2006/relationships/ctrlProp" Target="../ctrlProps/ctrlProp1088.xml"/><Relationship Id="rId1104" Type="http://schemas.openxmlformats.org/officeDocument/2006/relationships/ctrlProp" Target="../ctrlProps/ctrlProp1102.xml"/><Relationship Id="rId1311" Type="http://schemas.openxmlformats.org/officeDocument/2006/relationships/ctrlProp" Target="../ctrlProps/ctrlProp1309.xml"/><Relationship Id="rId1549" Type="http://schemas.openxmlformats.org/officeDocument/2006/relationships/ctrlProp" Target="../ctrlProps/ctrlProp1547.xml"/><Relationship Id="rId48" Type="http://schemas.openxmlformats.org/officeDocument/2006/relationships/ctrlProp" Target="../ctrlProps/ctrlProp46.xml"/><Relationship Id="rId113" Type="http://schemas.openxmlformats.org/officeDocument/2006/relationships/ctrlProp" Target="../ctrlProps/ctrlProp111.xml"/><Relationship Id="rId320" Type="http://schemas.openxmlformats.org/officeDocument/2006/relationships/ctrlProp" Target="../ctrlProps/ctrlProp318.xml"/><Relationship Id="rId558" Type="http://schemas.openxmlformats.org/officeDocument/2006/relationships/ctrlProp" Target="../ctrlProps/ctrlProp556.xml"/><Relationship Id="rId765" Type="http://schemas.openxmlformats.org/officeDocument/2006/relationships/ctrlProp" Target="../ctrlProps/ctrlProp763.xml"/><Relationship Id="rId972" Type="http://schemas.openxmlformats.org/officeDocument/2006/relationships/ctrlProp" Target="../ctrlProps/ctrlProp970.xml"/><Relationship Id="rId1188" Type="http://schemas.openxmlformats.org/officeDocument/2006/relationships/ctrlProp" Target="../ctrlProps/ctrlProp1186.xml"/><Relationship Id="rId1395" Type="http://schemas.openxmlformats.org/officeDocument/2006/relationships/ctrlProp" Target="../ctrlProps/ctrlProp1393.xml"/><Relationship Id="rId1409" Type="http://schemas.openxmlformats.org/officeDocument/2006/relationships/ctrlProp" Target="../ctrlProps/ctrlProp1407.xml"/><Relationship Id="rId197" Type="http://schemas.openxmlformats.org/officeDocument/2006/relationships/ctrlProp" Target="../ctrlProps/ctrlProp195.xml"/><Relationship Id="rId418" Type="http://schemas.openxmlformats.org/officeDocument/2006/relationships/ctrlProp" Target="../ctrlProps/ctrlProp416.xml"/><Relationship Id="rId625" Type="http://schemas.openxmlformats.org/officeDocument/2006/relationships/ctrlProp" Target="../ctrlProps/ctrlProp623.xml"/><Relationship Id="rId832" Type="http://schemas.openxmlformats.org/officeDocument/2006/relationships/ctrlProp" Target="../ctrlProps/ctrlProp830.xml"/><Relationship Id="rId1048" Type="http://schemas.openxmlformats.org/officeDocument/2006/relationships/ctrlProp" Target="../ctrlProps/ctrlProp1046.xml"/><Relationship Id="rId1255" Type="http://schemas.openxmlformats.org/officeDocument/2006/relationships/ctrlProp" Target="../ctrlProps/ctrlProp1253.xml"/><Relationship Id="rId1462" Type="http://schemas.openxmlformats.org/officeDocument/2006/relationships/ctrlProp" Target="../ctrlProps/ctrlProp1460.xml"/><Relationship Id="rId264" Type="http://schemas.openxmlformats.org/officeDocument/2006/relationships/ctrlProp" Target="../ctrlProps/ctrlProp262.xml"/><Relationship Id="rId471" Type="http://schemas.openxmlformats.org/officeDocument/2006/relationships/ctrlProp" Target="../ctrlProps/ctrlProp469.xml"/><Relationship Id="rId1115" Type="http://schemas.openxmlformats.org/officeDocument/2006/relationships/ctrlProp" Target="../ctrlProps/ctrlProp1113.xml"/><Relationship Id="rId1322" Type="http://schemas.openxmlformats.org/officeDocument/2006/relationships/ctrlProp" Target="../ctrlProps/ctrlProp1320.xml"/><Relationship Id="rId59" Type="http://schemas.openxmlformats.org/officeDocument/2006/relationships/ctrlProp" Target="../ctrlProps/ctrlProp57.xml"/><Relationship Id="rId124" Type="http://schemas.openxmlformats.org/officeDocument/2006/relationships/ctrlProp" Target="../ctrlProps/ctrlProp122.xml"/><Relationship Id="rId569" Type="http://schemas.openxmlformats.org/officeDocument/2006/relationships/ctrlProp" Target="../ctrlProps/ctrlProp567.xml"/><Relationship Id="rId776" Type="http://schemas.openxmlformats.org/officeDocument/2006/relationships/ctrlProp" Target="../ctrlProps/ctrlProp774.xml"/><Relationship Id="rId983" Type="http://schemas.openxmlformats.org/officeDocument/2006/relationships/ctrlProp" Target="../ctrlProps/ctrlProp981.xml"/><Relationship Id="rId1199" Type="http://schemas.openxmlformats.org/officeDocument/2006/relationships/ctrlProp" Target="../ctrlProps/ctrlProp1197.xml"/><Relationship Id="rId331" Type="http://schemas.openxmlformats.org/officeDocument/2006/relationships/ctrlProp" Target="../ctrlProps/ctrlProp329.xml"/><Relationship Id="rId429" Type="http://schemas.openxmlformats.org/officeDocument/2006/relationships/ctrlProp" Target="../ctrlProps/ctrlProp427.xml"/><Relationship Id="rId636" Type="http://schemas.openxmlformats.org/officeDocument/2006/relationships/ctrlProp" Target="../ctrlProps/ctrlProp634.xml"/><Relationship Id="rId1059" Type="http://schemas.openxmlformats.org/officeDocument/2006/relationships/ctrlProp" Target="../ctrlProps/ctrlProp1057.xml"/><Relationship Id="rId1266" Type="http://schemas.openxmlformats.org/officeDocument/2006/relationships/ctrlProp" Target="../ctrlProps/ctrlProp1264.xml"/><Relationship Id="rId1473" Type="http://schemas.openxmlformats.org/officeDocument/2006/relationships/ctrlProp" Target="../ctrlProps/ctrlProp1471.xml"/><Relationship Id="rId843" Type="http://schemas.openxmlformats.org/officeDocument/2006/relationships/ctrlProp" Target="../ctrlProps/ctrlProp841.xml"/><Relationship Id="rId1126" Type="http://schemas.openxmlformats.org/officeDocument/2006/relationships/ctrlProp" Target="../ctrlProps/ctrlProp1124.xml"/><Relationship Id="rId275" Type="http://schemas.openxmlformats.org/officeDocument/2006/relationships/ctrlProp" Target="../ctrlProps/ctrlProp273.xml"/><Relationship Id="rId482" Type="http://schemas.openxmlformats.org/officeDocument/2006/relationships/ctrlProp" Target="../ctrlProps/ctrlProp480.xml"/><Relationship Id="rId703" Type="http://schemas.openxmlformats.org/officeDocument/2006/relationships/ctrlProp" Target="../ctrlProps/ctrlProp701.xml"/><Relationship Id="rId910" Type="http://schemas.openxmlformats.org/officeDocument/2006/relationships/ctrlProp" Target="../ctrlProps/ctrlProp908.xml"/><Relationship Id="rId1333" Type="http://schemas.openxmlformats.org/officeDocument/2006/relationships/ctrlProp" Target="../ctrlProps/ctrlProp1331.xml"/><Relationship Id="rId1540" Type="http://schemas.openxmlformats.org/officeDocument/2006/relationships/ctrlProp" Target="../ctrlProps/ctrlProp1538.xml"/><Relationship Id="rId135" Type="http://schemas.openxmlformats.org/officeDocument/2006/relationships/ctrlProp" Target="../ctrlProps/ctrlProp133.xml"/><Relationship Id="rId342" Type="http://schemas.openxmlformats.org/officeDocument/2006/relationships/ctrlProp" Target="../ctrlProps/ctrlProp340.xml"/><Relationship Id="rId787" Type="http://schemas.openxmlformats.org/officeDocument/2006/relationships/ctrlProp" Target="../ctrlProps/ctrlProp785.xml"/><Relationship Id="rId994" Type="http://schemas.openxmlformats.org/officeDocument/2006/relationships/ctrlProp" Target="../ctrlProps/ctrlProp992.xml"/><Relationship Id="rId1400" Type="http://schemas.openxmlformats.org/officeDocument/2006/relationships/ctrlProp" Target="../ctrlProps/ctrlProp1398.xml"/><Relationship Id="rId202" Type="http://schemas.openxmlformats.org/officeDocument/2006/relationships/ctrlProp" Target="../ctrlProps/ctrlProp200.xml"/><Relationship Id="rId647" Type="http://schemas.openxmlformats.org/officeDocument/2006/relationships/ctrlProp" Target="../ctrlProps/ctrlProp645.xml"/><Relationship Id="rId854" Type="http://schemas.openxmlformats.org/officeDocument/2006/relationships/ctrlProp" Target="../ctrlProps/ctrlProp852.xml"/><Relationship Id="rId1277" Type="http://schemas.openxmlformats.org/officeDocument/2006/relationships/ctrlProp" Target="../ctrlProps/ctrlProp1275.xml"/><Relationship Id="rId1484" Type="http://schemas.openxmlformats.org/officeDocument/2006/relationships/ctrlProp" Target="../ctrlProps/ctrlProp1482.xml"/><Relationship Id="rId286" Type="http://schemas.openxmlformats.org/officeDocument/2006/relationships/ctrlProp" Target="../ctrlProps/ctrlProp284.xml"/><Relationship Id="rId493" Type="http://schemas.openxmlformats.org/officeDocument/2006/relationships/ctrlProp" Target="../ctrlProps/ctrlProp491.xml"/><Relationship Id="rId507" Type="http://schemas.openxmlformats.org/officeDocument/2006/relationships/ctrlProp" Target="../ctrlProps/ctrlProp505.xml"/><Relationship Id="rId714" Type="http://schemas.openxmlformats.org/officeDocument/2006/relationships/ctrlProp" Target="../ctrlProps/ctrlProp712.xml"/><Relationship Id="rId921" Type="http://schemas.openxmlformats.org/officeDocument/2006/relationships/ctrlProp" Target="../ctrlProps/ctrlProp919.xml"/><Relationship Id="rId1137" Type="http://schemas.openxmlformats.org/officeDocument/2006/relationships/ctrlProp" Target="../ctrlProps/ctrlProp1135.xml"/><Relationship Id="rId1344" Type="http://schemas.openxmlformats.org/officeDocument/2006/relationships/ctrlProp" Target="../ctrlProps/ctrlProp1342.xml"/><Relationship Id="rId1551" Type="http://schemas.openxmlformats.org/officeDocument/2006/relationships/ctrlProp" Target="../ctrlProps/ctrlProp1549.xml"/><Relationship Id="rId50" Type="http://schemas.openxmlformats.org/officeDocument/2006/relationships/ctrlProp" Target="../ctrlProps/ctrlProp48.xml"/><Relationship Id="rId146" Type="http://schemas.openxmlformats.org/officeDocument/2006/relationships/ctrlProp" Target="../ctrlProps/ctrlProp144.xml"/><Relationship Id="rId353" Type="http://schemas.openxmlformats.org/officeDocument/2006/relationships/ctrlProp" Target="../ctrlProps/ctrlProp351.xml"/><Relationship Id="rId560" Type="http://schemas.openxmlformats.org/officeDocument/2006/relationships/ctrlProp" Target="../ctrlProps/ctrlProp558.xml"/><Relationship Id="rId798" Type="http://schemas.openxmlformats.org/officeDocument/2006/relationships/ctrlProp" Target="../ctrlProps/ctrlProp796.xml"/><Relationship Id="rId1190" Type="http://schemas.openxmlformats.org/officeDocument/2006/relationships/ctrlProp" Target="../ctrlProps/ctrlProp1188.xml"/><Relationship Id="rId1204" Type="http://schemas.openxmlformats.org/officeDocument/2006/relationships/ctrlProp" Target="../ctrlProps/ctrlProp1202.xml"/><Relationship Id="rId1411" Type="http://schemas.openxmlformats.org/officeDocument/2006/relationships/ctrlProp" Target="../ctrlProps/ctrlProp1409.xml"/><Relationship Id="rId213" Type="http://schemas.openxmlformats.org/officeDocument/2006/relationships/ctrlProp" Target="../ctrlProps/ctrlProp211.xml"/><Relationship Id="rId420" Type="http://schemas.openxmlformats.org/officeDocument/2006/relationships/ctrlProp" Target="../ctrlProps/ctrlProp418.xml"/><Relationship Id="rId658" Type="http://schemas.openxmlformats.org/officeDocument/2006/relationships/ctrlProp" Target="../ctrlProps/ctrlProp656.xml"/><Relationship Id="rId865" Type="http://schemas.openxmlformats.org/officeDocument/2006/relationships/ctrlProp" Target="../ctrlProps/ctrlProp863.xml"/><Relationship Id="rId1050" Type="http://schemas.openxmlformats.org/officeDocument/2006/relationships/ctrlProp" Target="../ctrlProps/ctrlProp1048.xml"/><Relationship Id="rId1288" Type="http://schemas.openxmlformats.org/officeDocument/2006/relationships/ctrlProp" Target="../ctrlProps/ctrlProp1286.xml"/><Relationship Id="rId1495" Type="http://schemas.openxmlformats.org/officeDocument/2006/relationships/ctrlProp" Target="../ctrlProps/ctrlProp1493.xml"/><Relationship Id="rId1509" Type="http://schemas.openxmlformats.org/officeDocument/2006/relationships/ctrlProp" Target="../ctrlProps/ctrlProp1507.xml"/><Relationship Id="rId297" Type="http://schemas.openxmlformats.org/officeDocument/2006/relationships/ctrlProp" Target="../ctrlProps/ctrlProp295.xml"/><Relationship Id="rId518" Type="http://schemas.openxmlformats.org/officeDocument/2006/relationships/ctrlProp" Target="../ctrlProps/ctrlProp516.xml"/><Relationship Id="rId725" Type="http://schemas.openxmlformats.org/officeDocument/2006/relationships/ctrlProp" Target="../ctrlProps/ctrlProp723.xml"/><Relationship Id="rId932" Type="http://schemas.openxmlformats.org/officeDocument/2006/relationships/ctrlProp" Target="../ctrlProps/ctrlProp930.xml"/><Relationship Id="rId1148" Type="http://schemas.openxmlformats.org/officeDocument/2006/relationships/ctrlProp" Target="../ctrlProps/ctrlProp1146.xml"/><Relationship Id="rId1355" Type="http://schemas.openxmlformats.org/officeDocument/2006/relationships/ctrlProp" Target="../ctrlProps/ctrlProp1353.xml"/><Relationship Id="rId157" Type="http://schemas.openxmlformats.org/officeDocument/2006/relationships/ctrlProp" Target="../ctrlProps/ctrlProp155.xml"/><Relationship Id="rId364" Type="http://schemas.openxmlformats.org/officeDocument/2006/relationships/ctrlProp" Target="../ctrlProps/ctrlProp362.xml"/><Relationship Id="rId1008" Type="http://schemas.openxmlformats.org/officeDocument/2006/relationships/ctrlProp" Target="../ctrlProps/ctrlProp1006.xml"/><Relationship Id="rId1215" Type="http://schemas.openxmlformats.org/officeDocument/2006/relationships/ctrlProp" Target="../ctrlProps/ctrlProp1213.xml"/><Relationship Id="rId1422" Type="http://schemas.openxmlformats.org/officeDocument/2006/relationships/ctrlProp" Target="../ctrlProps/ctrlProp1420.xml"/><Relationship Id="rId61" Type="http://schemas.openxmlformats.org/officeDocument/2006/relationships/ctrlProp" Target="../ctrlProps/ctrlProp59.xml"/><Relationship Id="rId571" Type="http://schemas.openxmlformats.org/officeDocument/2006/relationships/ctrlProp" Target="../ctrlProps/ctrlProp569.xml"/><Relationship Id="rId669" Type="http://schemas.openxmlformats.org/officeDocument/2006/relationships/ctrlProp" Target="../ctrlProps/ctrlProp667.xml"/><Relationship Id="rId876" Type="http://schemas.openxmlformats.org/officeDocument/2006/relationships/ctrlProp" Target="../ctrlProps/ctrlProp874.xml"/><Relationship Id="rId1299" Type="http://schemas.openxmlformats.org/officeDocument/2006/relationships/ctrlProp" Target="../ctrlProps/ctrlProp1297.xml"/><Relationship Id="rId19" Type="http://schemas.openxmlformats.org/officeDocument/2006/relationships/ctrlProp" Target="../ctrlProps/ctrlProp17.xml"/><Relationship Id="rId224" Type="http://schemas.openxmlformats.org/officeDocument/2006/relationships/ctrlProp" Target="../ctrlProps/ctrlProp222.xml"/><Relationship Id="rId431" Type="http://schemas.openxmlformats.org/officeDocument/2006/relationships/ctrlProp" Target="../ctrlProps/ctrlProp429.xml"/><Relationship Id="rId529" Type="http://schemas.openxmlformats.org/officeDocument/2006/relationships/ctrlProp" Target="../ctrlProps/ctrlProp527.xml"/><Relationship Id="rId736" Type="http://schemas.openxmlformats.org/officeDocument/2006/relationships/ctrlProp" Target="../ctrlProps/ctrlProp734.xml"/><Relationship Id="rId1061" Type="http://schemas.openxmlformats.org/officeDocument/2006/relationships/ctrlProp" Target="../ctrlProps/ctrlProp1059.xml"/><Relationship Id="rId1159" Type="http://schemas.openxmlformats.org/officeDocument/2006/relationships/ctrlProp" Target="../ctrlProps/ctrlProp1157.xml"/><Relationship Id="rId1366" Type="http://schemas.openxmlformats.org/officeDocument/2006/relationships/ctrlProp" Target="../ctrlProps/ctrlProp1364.xml"/><Relationship Id="rId168" Type="http://schemas.openxmlformats.org/officeDocument/2006/relationships/ctrlProp" Target="../ctrlProps/ctrlProp166.xml"/><Relationship Id="rId943" Type="http://schemas.openxmlformats.org/officeDocument/2006/relationships/ctrlProp" Target="../ctrlProps/ctrlProp941.xml"/><Relationship Id="rId1019" Type="http://schemas.openxmlformats.org/officeDocument/2006/relationships/ctrlProp" Target="../ctrlProps/ctrlProp1017.xml"/><Relationship Id="rId72" Type="http://schemas.openxmlformats.org/officeDocument/2006/relationships/ctrlProp" Target="../ctrlProps/ctrlProp70.xml"/><Relationship Id="rId375" Type="http://schemas.openxmlformats.org/officeDocument/2006/relationships/ctrlProp" Target="../ctrlProps/ctrlProp373.xml"/><Relationship Id="rId582" Type="http://schemas.openxmlformats.org/officeDocument/2006/relationships/ctrlProp" Target="../ctrlProps/ctrlProp580.xml"/><Relationship Id="rId803" Type="http://schemas.openxmlformats.org/officeDocument/2006/relationships/ctrlProp" Target="../ctrlProps/ctrlProp801.xml"/><Relationship Id="rId1226" Type="http://schemas.openxmlformats.org/officeDocument/2006/relationships/ctrlProp" Target="../ctrlProps/ctrlProp1224.xml"/><Relationship Id="rId1433" Type="http://schemas.openxmlformats.org/officeDocument/2006/relationships/ctrlProp" Target="../ctrlProps/ctrlProp1431.xml"/><Relationship Id="rId3" Type="http://schemas.openxmlformats.org/officeDocument/2006/relationships/ctrlProp" Target="../ctrlProps/ctrlProp1.xml"/><Relationship Id="rId235" Type="http://schemas.openxmlformats.org/officeDocument/2006/relationships/ctrlProp" Target="../ctrlProps/ctrlProp233.xml"/><Relationship Id="rId442" Type="http://schemas.openxmlformats.org/officeDocument/2006/relationships/ctrlProp" Target="../ctrlProps/ctrlProp440.xml"/><Relationship Id="rId887" Type="http://schemas.openxmlformats.org/officeDocument/2006/relationships/ctrlProp" Target="../ctrlProps/ctrlProp885.xml"/><Relationship Id="rId1072" Type="http://schemas.openxmlformats.org/officeDocument/2006/relationships/ctrlProp" Target="../ctrlProps/ctrlProp1070.xml"/><Relationship Id="rId1500" Type="http://schemas.openxmlformats.org/officeDocument/2006/relationships/ctrlProp" Target="../ctrlProps/ctrlProp1498.xml"/><Relationship Id="rId302" Type="http://schemas.openxmlformats.org/officeDocument/2006/relationships/ctrlProp" Target="../ctrlProps/ctrlProp300.xml"/><Relationship Id="rId747" Type="http://schemas.openxmlformats.org/officeDocument/2006/relationships/ctrlProp" Target="../ctrlProps/ctrlProp745.xml"/><Relationship Id="rId954" Type="http://schemas.openxmlformats.org/officeDocument/2006/relationships/ctrlProp" Target="../ctrlProps/ctrlProp952.xml"/><Relationship Id="rId1377" Type="http://schemas.openxmlformats.org/officeDocument/2006/relationships/ctrlProp" Target="../ctrlProps/ctrlProp1375.xml"/><Relationship Id="rId83" Type="http://schemas.openxmlformats.org/officeDocument/2006/relationships/ctrlProp" Target="../ctrlProps/ctrlProp81.xml"/><Relationship Id="rId179" Type="http://schemas.openxmlformats.org/officeDocument/2006/relationships/ctrlProp" Target="../ctrlProps/ctrlProp177.xml"/><Relationship Id="rId386" Type="http://schemas.openxmlformats.org/officeDocument/2006/relationships/ctrlProp" Target="../ctrlProps/ctrlProp384.xml"/><Relationship Id="rId593" Type="http://schemas.openxmlformats.org/officeDocument/2006/relationships/ctrlProp" Target="../ctrlProps/ctrlProp591.xml"/><Relationship Id="rId607" Type="http://schemas.openxmlformats.org/officeDocument/2006/relationships/ctrlProp" Target="../ctrlProps/ctrlProp605.xml"/><Relationship Id="rId814" Type="http://schemas.openxmlformats.org/officeDocument/2006/relationships/ctrlProp" Target="../ctrlProps/ctrlProp812.xml"/><Relationship Id="rId1237" Type="http://schemas.openxmlformats.org/officeDocument/2006/relationships/ctrlProp" Target="../ctrlProps/ctrlProp1235.xml"/><Relationship Id="rId1444" Type="http://schemas.openxmlformats.org/officeDocument/2006/relationships/ctrlProp" Target="../ctrlProps/ctrlProp1442.xml"/><Relationship Id="rId246" Type="http://schemas.openxmlformats.org/officeDocument/2006/relationships/ctrlProp" Target="../ctrlProps/ctrlProp244.xml"/><Relationship Id="rId453" Type="http://schemas.openxmlformats.org/officeDocument/2006/relationships/ctrlProp" Target="../ctrlProps/ctrlProp451.xml"/><Relationship Id="rId660" Type="http://schemas.openxmlformats.org/officeDocument/2006/relationships/ctrlProp" Target="../ctrlProps/ctrlProp658.xml"/><Relationship Id="rId898" Type="http://schemas.openxmlformats.org/officeDocument/2006/relationships/ctrlProp" Target="../ctrlProps/ctrlProp896.xml"/><Relationship Id="rId1083" Type="http://schemas.openxmlformats.org/officeDocument/2006/relationships/ctrlProp" Target="../ctrlProps/ctrlProp1081.xml"/><Relationship Id="rId1290" Type="http://schemas.openxmlformats.org/officeDocument/2006/relationships/ctrlProp" Target="../ctrlProps/ctrlProp1288.xml"/><Relationship Id="rId1304" Type="http://schemas.openxmlformats.org/officeDocument/2006/relationships/ctrlProp" Target="../ctrlProps/ctrlProp1302.xml"/><Relationship Id="rId1511" Type="http://schemas.openxmlformats.org/officeDocument/2006/relationships/ctrlProp" Target="../ctrlProps/ctrlProp1509.xml"/><Relationship Id="rId106" Type="http://schemas.openxmlformats.org/officeDocument/2006/relationships/ctrlProp" Target="../ctrlProps/ctrlProp104.xml"/><Relationship Id="rId313" Type="http://schemas.openxmlformats.org/officeDocument/2006/relationships/ctrlProp" Target="../ctrlProps/ctrlProp311.xml"/><Relationship Id="rId758" Type="http://schemas.openxmlformats.org/officeDocument/2006/relationships/ctrlProp" Target="../ctrlProps/ctrlProp756.xml"/><Relationship Id="rId965" Type="http://schemas.openxmlformats.org/officeDocument/2006/relationships/ctrlProp" Target="../ctrlProps/ctrlProp963.xml"/><Relationship Id="rId1150" Type="http://schemas.openxmlformats.org/officeDocument/2006/relationships/ctrlProp" Target="../ctrlProps/ctrlProp1148.xml"/><Relationship Id="rId1388" Type="http://schemas.openxmlformats.org/officeDocument/2006/relationships/ctrlProp" Target="../ctrlProps/ctrlProp1386.xml"/><Relationship Id="rId10" Type="http://schemas.openxmlformats.org/officeDocument/2006/relationships/ctrlProp" Target="../ctrlProps/ctrlProp8.xml"/><Relationship Id="rId94" Type="http://schemas.openxmlformats.org/officeDocument/2006/relationships/ctrlProp" Target="../ctrlProps/ctrlProp92.xml"/><Relationship Id="rId397" Type="http://schemas.openxmlformats.org/officeDocument/2006/relationships/ctrlProp" Target="../ctrlProps/ctrlProp395.xml"/><Relationship Id="rId520" Type="http://schemas.openxmlformats.org/officeDocument/2006/relationships/ctrlProp" Target="../ctrlProps/ctrlProp518.xml"/><Relationship Id="rId618" Type="http://schemas.openxmlformats.org/officeDocument/2006/relationships/ctrlProp" Target="../ctrlProps/ctrlProp616.xml"/><Relationship Id="rId825" Type="http://schemas.openxmlformats.org/officeDocument/2006/relationships/ctrlProp" Target="../ctrlProps/ctrlProp823.xml"/><Relationship Id="rId1248" Type="http://schemas.openxmlformats.org/officeDocument/2006/relationships/ctrlProp" Target="../ctrlProps/ctrlProp1246.xml"/><Relationship Id="rId1455" Type="http://schemas.openxmlformats.org/officeDocument/2006/relationships/ctrlProp" Target="../ctrlProps/ctrlProp1453.xml"/><Relationship Id="rId257" Type="http://schemas.openxmlformats.org/officeDocument/2006/relationships/ctrlProp" Target="../ctrlProps/ctrlProp255.xml"/><Relationship Id="rId464" Type="http://schemas.openxmlformats.org/officeDocument/2006/relationships/ctrlProp" Target="../ctrlProps/ctrlProp462.xml"/><Relationship Id="rId1010" Type="http://schemas.openxmlformats.org/officeDocument/2006/relationships/ctrlProp" Target="../ctrlProps/ctrlProp1008.xml"/><Relationship Id="rId1094" Type="http://schemas.openxmlformats.org/officeDocument/2006/relationships/ctrlProp" Target="../ctrlProps/ctrlProp1092.xml"/><Relationship Id="rId1108" Type="http://schemas.openxmlformats.org/officeDocument/2006/relationships/ctrlProp" Target="../ctrlProps/ctrlProp1106.xml"/><Relationship Id="rId1315" Type="http://schemas.openxmlformats.org/officeDocument/2006/relationships/ctrlProp" Target="../ctrlProps/ctrlProp1313.xml"/><Relationship Id="rId117" Type="http://schemas.openxmlformats.org/officeDocument/2006/relationships/ctrlProp" Target="../ctrlProps/ctrlProp115.xml"/><Relationship Id="rId671" Type="http://schemas.openxmlformats.org/officeDocument/2006/relationships/ctrlProp" Target="../ctrlProps/ctrlProp669.xml"/><Relationship Id="rId769" Type="http://schemas.openxmlformats.org/officeDocument/2006/relationships/ctrlProp" Target="../ctrlProps/ctrlProp767.xml"/><Relationship Id="rId976" Type="http://schemas.openxmlformats.org/officeDocument/2006/relationships/ctrlProp" Target="../ctrlProps/ctrlProp974.xml"/><Relationship Id="rId1399" Type="http://schemas.openxmlformats.org/officeDocument/2006/relationships/ctrlProp" Target="../ctrlProps/ctrlProp1397.xml"/><Relationship Id="rId324" Type="http://schemas.openxmlformats.org/officeDocument/2006/relationships/ctrlProp" Target="../ctrlProps/ctrlProp322.xml"/><Relationship Id="rId531" Type="http://schemas.openxmlformats.org/officeDocument/2006/relationships/ctrlProp" Target="../ctrlProps/ctrlProp529.xml"/><Relationship Id="rId629" Type="http://schemas.openxmlformats.org/officeDocument/2006/relationships/ctrlProp" Target="../ctrlProps/ctrlProp627.xml"/><Relationship Id="rId1161" Type="http://schemas.openxmlformats.org/officeDocument/2006/relationships/ctrlProp" Target="../ctrlProps/ctrlProp1159.xml"/><Relationship Id="rId1259" Type="http://schemas.openxmlformats.org/officeDocument/2006/relationships/ctrlProp" Target="../ctrlProps/ctrlProp1257.xml"/><Relationship Id="rId1466" Type="http://schemas.openxmlformats.org/officeDocument/2006/relationships/ctrlProp" Target="../ctrlProps/ctrlProp1464.xml"/><Relationship Id="rId836" Type="http://schemas.openxmlformats.org/officeDocument/2006/relationships/ctrlProp" Target="../ctrlProps/ctrlProp834.xml"/><Relationship Id="rId1021" Type="http://schemas.openxmlformats.org/officeDocument/2006/relationships/ctrlProp" Target="../ctrlProps/ctrlProp1019.xml"/><Relationship Id="rId1119" Type="http://schemas.openxmlformats.org/officeDocument/2006/relationships/ctrlProp" Target="../ctrlProps/ctrlProp1117.xml"/><Relationship Id="rId903" Type="http://schemas.openxmlformats.org/officeDocument/2006/relationships/ctrlProp" Target="../ctrlProps/ctrlProp901.xml"/><Relationship Id="rId1326" Type="http://schemas.openxmlformats.org/officeDocument/2006/relationships/ctrlProp" Target="../ctrlProps/ctrlProp1324.xml"/><Relationship Id="rId1533" Type="http://schemas.openxmlformats.org/officeDocument/2006/relationships/ctrlProp" Target="../ctrlProps/ctrlProp1531.xml"/><Relationship Id="rId32" Type="http://schemas.openxmlformats.org/officeDocument/2006/relationships/ctrlProp" Target="../ctrlProps/ctrlProp30.xml"/><Relationship Id="rId181" Type="http://schemas.openxmlformats.org/officeDocument/2006/relationships/ctrlProp" Target="../ctrlProps/ctrlProp179.xml"/><Relationship Id="rId279" Type="http://schemas.openxmlformats.org/officeDocument/2006/relationships/ctrlProp" Target="../ctrlProps/ctrlProp277.xml"/><Relationship Id="rId486" Type="http://schemas.openxmlformats.org/officeDocument/2006/relationships/ctrlProp" Target="../ctrlProps/ctrlProp484.xml"/><Relationship Id="rId693" Type="http://schemas.openxmlformats.org/officeDocument/2006/relationships/ctrlProp" Target="../ctrlProps/ctrlProp691.xml"/><Relationship Id="rId139" Type="http://schemas.openxmlformats.org/officeDocument/2006/relationships/ctrlProp" Target="../ctrlProps/ctrlProp137.xml"/><Relationship Id="rId346" Type="http://schemas.openxmlformats.org/officeDocument/2006/relationships/ctrlProp" Target="../ctrlProps/ctrlProp344.xml"/><Relationship Id="rId553" Type="http://schemas.openxmlformats.org/officeDocument/2006/relationships/ctrlProp" Target="../ctrlProps/ctrlProp551.xml"/><Relationship Id="rId760" Type="http://schemas.openxmlformats.org/officeDocument/2006/relationships/ctrlProp" Target="../ctrlProps/ctrlProp758.xml"/><Relationship Id="rId998" Type="http://schemas.openxmlformats.org/officeDocument/2006/relationships/ctrlProp" Target="../ctrlProps/ctrlProp996.xml"/><Relationship Id="rId1183" Type="http://schemas.openxmlformats.org/officeDocument/2006/relationships/ctrlProp" Target="../ctrlProps/ctrlProp1181.xml"/><Relationship Id="rId1390" Type="http://schemas.openxmlformats.org/officeDocument/2006/relationships/ctrlProp" Target="../ctrlProps/ctrlProp1388.xml"/><Relationship Id="rId206" Type="http://schemas.openxmlformats.org/officeDocument/2006/relationships/ctrlProp" Target="../ctrlProps/ctrlProp204.xml"/><Relationship Id="rId413" Type="http://schemas.openxmlformats.org/officeDocument/2006/relationships/ctrlProp" Target="../ctrlProps/ctrlProp411.xml"/><Relationship Id="rId858" Type="http://schemas.openxmlformats.org/officeDocument/2006/relationships/ctrlProp" Target="../ctrlProps/ctrlProp856.xml"/><Relationship Id="rId1043" Type="http://schemas.openxmlformats.org/officeDocument/2006/relationships/ctrlProp" Target="../ctrlProps/ctrlProp1041.xml"/><Relationship Id="rId1488" Type="http://schemas.openxmlformats.org/officeDocument/2006/relationships/ctrlProp" Target="../ctrlProps/ctrlProp1486.xml"/><Relationship Id="rId620" Type="http://schemas.openxmlformats.org/officeDocument/2006/relationships/ctrlProp" Target="../ctrlProps/ctrlProp618.xml"/><Relationship Id="rId718" Type="http://schemas.openxmlformats.org/officeDocument/2006/relationships/ctrlProp" Target="../ctrlProps/ctrlProp716.xml"/><Relationship Id="rId925" Type="http://schemas.openxmlformats.org/officeDocument/2006/relationships/ctrlProp" Target="../ctrlProps/ctrlProp923.xml"/><Relationship Id="rId1250" Type="http://schemas.openxmlformats.org/officeDocument/2006/relationships/ctrlProp" Target="../ctrlProps/ctrlProp1248.xml"/><Relationship Id="rId1348" Type="http://schemas.openxmlformats.org/officeDocument/2006/relationships/ctrlProp" Target="../ctrlProps/ctrlProp1346.xml"/><Relationship Id="rId1110" Type="http://schemas.openxmlformats.org/officeDocument/2006/relationships/ctrlProp" Target="../ctrlProps/ctrlProp1108.xml"/><Relationship Id="rId1208" Type="http://schemas.openxmlformats.org/officeDocument/2006/relationships/ctrlProp" Target="../ctrlProps/ctrlProp1206.xml"/><Relationship Id="rId1415" Type="http://schemas.openxmlformats.org/officeDocument/2006/relationships/ctrlProp" Target="../ctrlProps/ctrlProp1413.xml"/><Relationship Id="rId54" Type="http://schemas.openxmlformats.org/officeDocument/2006/relationships/ctrlProp" Target="../ctrlProps/ctrlProp52.xml"/><Relationship Id="rId270" Type="http://schemas.openxmlformats.org/officeDocument/2006/relationships/ctrlProp" Target="../ctrlProps/ctrlProp268.xml"/><Relationship Id="rId130" Type="http://schemas.openxmlformats.org/officeDocument/2006/relationships/ctrlProp" Target="../ctrlProps/ctrlProp128.xml"/><Relationship Id="rId368" Type="http://schemas.openxmlformats.org/officeDocument/2006/relationships/ctrlProp" Target="../ctrlProps/ctrlProp366.xml"/><Relationship Id="rId575" Type="http://schemas.openxmlformats.org/officeDocument/2006/relationships/ctrlProp" Target="../ctrlProps/ctrlProp573.xml"/><Relationship Id="rId782" Type="http://schemas.openxmlformats.org/officeDocument/2006/relationships/ctrlProp" Target="../ctrlProps/ctrlProp780.xml"/><Relationship Id="rId228" Type="http://schemas.openxmlformats.org/officeDocument/2006/relationships/ctrlProp" Target="../ctrlProps/ctrlProp226.xml"/><Relationship Id="rId435" Type="http://schemas.openxmlformats.org/officeDocument/2006/relationships/ctrlProp" Target="../ctrlProps/ctrlProp433.xml"/><Relationship Id="rId642" Type="http://schemas.openxmlformats.org/officeDocument/2006/relationships/ctrlProp" Target="../ctrlProps/ctrlProp640.xml"/><Relationship Id="rId1065" Type="http://schemas.openxmlformats.org/officeDocument/2006/relationships/ctrlProp" Target="../ctrlProps/ctrlProp1063.xml"/><Relationship Id="rId1272" Type="http://schemas.openxmlformats.org/officeDocument/2006/relationships/ctrlProp" Target="../ctrlProps/ctrlProp1270.xml"/><Relationship Id="rId502" Type="http://schemas.openxmlformats.org/officeDocument/2006/relationships/ctrlProp" Target="../ctrlProps/ctrlProp500.xml"/><Relationship Id="rId947" Type="http://schemas.openxmlformats.org/officeDocument/2006/relationships/ctrlProp" Target="../ctrlProps/ctrlProp945.xml"/><Relationship Id="rId1132" Type="http://schemas.openxmlformats.org/officeDocument/2006/relationships/ctrlProp" Target="../ctrlProps/ctrlProp1130.xml"/><Relationship Id="rId76" Type="http://schemas.openxmlformats.org/officeDocument/2006/relationships/ctrlProp" Target="../ctrlProps/ctrlProp74.xml"/><Relationship Id="rId807" Type="http://schemas.openxmlformats.org/officeDocument/2006/relationships/ctrlProp" Target="../ctrlProps/ctrlProp805.xml"/><Relationship Id="rId1437" Type="http://schemas.openxmlformats.org/officeDocument/2006/relationships/ctrlProp" Target="../ctrlProps/ctrlProp1435.xml"/><Relationship Id="rId1504" Type="http://schemas.openxmlformats.org/officeDocument/2006/relationships/ctrlProp" Target="../ctrlProps/ctrlProp1502.xml"/><Relationship Id="rId292" Type="http://schemas.openxmlformats.org/officeDocument/2006/relationships/ctrlProp" Target="../ctrlProps/ctrlProp290.xml"/><Relationship Id="rId597" Type="http://schemas.openxmlformats.org/officeDocument/2006/relationships/ctrlProp" Target="../ctrlProps/ctrlProp595.xml"/><Relationship Id="rId152" Type="http://schemas.openxmlformats.org/officeDocument/2006/relationships/ctrlProp" Target="../ctrlProps/ctrlProp150.xml"/><Relationship Id="rId457" Type="http://schemas.openxmlformats.org/officeDocument/2006/relationships/ctrlProp" Target="../ctrlProps/ctrlProp455.xml"/><Relationship Id="rId1087" Type="http://schemas.openxmlformats.org/officeDocument/2006/relationships/ctrlProp" Target="../ctrlProps/ctrlProp1085.xml"/><Relationship Id="rId1294" Type="http://schemas.openxmlformats.org/officeDocument/2006/relationships/ctrlProp" Target="../ctrlProps/ctrlProp1292.xml"/><Relationship Id="rId664" Type="http://schemas.openxmlformats.org/officeDocument/2006/relationships/ctrlProp" Target="../ctrlProps/ctrlProp662.xml"/><Relationship Id="rId871" Type="http://schemas.openxmlformats.org/officeDocument/2006/relationships/ctrlProp" Target="../ctrlProps/ctrlProp869.xml"/><Relationship Id="rId969" Type="http://schemas.openxmlformats.org/officeDocument/2006/relationships/ctrlProp" Target="../ctrlProps/ctrlProp967.xml"/><Relationship Id="rId317" Type="http://schemas.openxmlformats.org/officeDocument/2006/relationships/ctrlProp" Target="../ctrlProps/ctrlProp315.xml"/><Relationship Id="rId524" Type="http://schemas.openxmlformats.org/officeDocument/2006/relationships/ctrlProp" Target="../ctrlProps/ctrlProp522.xml"/><Relationship Id="rId731" Type="http://schemas.openxmlformats.org/officeDocument/2006/relationships/ctrlProp" Target="../ctrlProps/ctrlProp729.xml"/><Relationship Id="rId1154" Type="http://schemas.openxmlformats.org/officeDocument/2006/relationships/ctrlProp" Target="../ctrlProps/ctrlProp1152.xml"/><Relationship Id="rId1361" Type="http://schemas.openxmlformats.org/officeDocument/2006/relationships/ctrlProp" Target="../ctrlProps/ctrlProp1359.xml"/><Relationship Id="rId1459" Type="http://schemas.openxmlformats.org/officeDocument/2006/relationships/ctrlProp" Target="../ctrlProps/ctrlProp1457.xml"/><Relationship Id="rId98" Type="http://schemas.openxmlformats.org/officeDocument/2006/relationships/ctrlProp" Target="../ctrlProps/ctrlProp96.xml"/><Relationship Id="rId829" Type="http://schemas.openxmlformats.org/officeDocument/2006/relationships/ctrlProp" Target="../ctrlProps/ctrlProp827.xml"/><Relationship Id="rId1014" Type="http://schemas.openxmlformats.org/officeDocument/2006/relationships/ctrlProp" Target="../ctrlProps/ctrlProp1012.xml"/><Relationship Id="rId1221" Type="http://schemas.openxmlformats.org/officeDocument/2006/relationships/ctrlProp" Target="../ctrlProps/ctrlProp1219.xml"/><Relationship Id="rId1319" Type="http://schemas.openxmlformats.org/officeDocument/2006/relationships/ctrlProp" Target="../ctrlProps/ctrlProp1317.xml"/><Relationship Id="rId1526" Type="http://schemas.openxmlformats.org/officeDocument/2006/relationships/ctrlProp" Target="../ctrlProps/ctrlProp1524.xml"/><Relationship Id="rId25" Type="http://schemas.openxmlformats.org/officeDocument/2006/relationships/ctrlProp" Target="../ctrlProps/ctrlProp23.xml"/><Relationship Id="rId174" Type="http://schemas.openxmlformats.org/officeDocument/2006/relationships/ctrlProp" Target="../ctrlProps/ctrlProp172.xml"/><Relationship Id="rId381" Type="http://schemas.openxmlformats.org/officeDocument/2006/relationships/ctrlProp" Target="../ctrlProps/ctrlProp379.xml"/><Relationship Id="rId241" Type="http://schemas.openxmlformats.org/officeDocument/2006/relationships/ctrlProp" Target="../ctrlProps/ctrlProp239.xml"/><Relationship Id="rId479" Type="http://schemas.openxmlformats.org/officeDocument/2006/relationships/ctrlProp" Target="../ctrlProps/ctrlProp477.xml"/><Relationship Id="rId686" Type="http://schemas.openxmlformats.org/officeDocument/2006/relationships/ctrlProp" Target="../ctrlProps/ctrlProp684.xml"/><Relationship Id="rId893" Type="http://schemas.openxmlformats.org/officeDocument/2006/relationships/ctrlProp" Target="../ctrlProps/ctrlProp891.xml"/><Relationship Id="rId339" Type="http://schemas.openxmlformats.org/officeDocument/2006/relationships/ctrlProp" Target="../ctrlProps/ctrlProp337.xml"/><Relationship Id="rId546" Type="http://schemas.openxmlformats.org/officeDocument/2006/relationships/ctrlProp" Target="../ctrlProps/ctrlProp544.xml"/><Relationship Id="rId753" Type="http://schemas.openxmlformats.org/officeDocument/2006/relationships/ctrlProp" Target="../ctrlProps/ctrlProp751.xml"/><Relationship Id="rId1176" Type="http://schemas.openxmlformats.org/officeDocument/2006/relationships/ctrlProp" Target="../ctrlProps/ctrlProp1174.xml"/><Relationship Id="rId1383" Type="http://schemas.openxmlformats.org/officeDocument/2006/relationships/ctrlProp" Target="../ctrlProps/ctrlProp1381.xml"/><Relationship Id="rId101" Type="http://schemas.openxmlformats.org/officeDocument/2006/relationships/ctrlProp" Target="../ctrlProps/ctrlProp99.xml"/><Relationship Id="rId406" Type="http://schemas.openxmlformats.org/officeDocument/2006/relationships/ctrlProp" Target="../ctrlProps/ctrlProp404.xml"/><Relationship Id="rId960" Type="http://schemas.openxmlformats.org/officeDocument/2006/relationships/ctrlProp" Target="../ctrlProps/ctrlProp958.xml"/><Relationship Id="rId1036" Type="http://schemas.openxmlformats.org/officeDocument/2006/relationships/ctrlProp" Target="../ctrlProps/ctrlProp1034.xml"/><Relationship Id="rId1243" Type="http://schemas.openxmlformats.org/officeDocument/2006/relationships/ctrlProp" Target="../ctrlProps/ctrlProp1241.xml"/><Relationship Id="rId613" Type="http://schemas.openxmlformats.org/officeDocument/2006/relationships/ctrlProp" Target="../ctrlProps/ctrlProp611.xml"/><Relationship Id="rId820" Type="http://schemas.openxmlformats.org/officeDocument/2006/relationships/ctrlProp" Target="../ctrlProps/ctrlProp818.xml"/><Relationship Id="rId918" Type="http://schemas.openxmlformats.org/officeDocument/2006/relationships/ctrlProp" Target="../ctrlProps/ctrlProp916.xml"/><Relationship Id="rId1450" Type="http://schemas.openxmlformats.org/officeDocument/2006/relationships/ctrlProp" Target="../ctrlProps/ctrlProp1448.xml"/><Relationship Id="rId1548" Type="http://schemas.openxmlformats.org/officeDocument/2006/relationships/ctrlProp" Target="../ctrlProps/ctrlProp1546.xml"/><Relationship Id="rId1103" Type="http://schemas.openxmlformats.org/officeDocument/2006/relationships/ctrlProp" Target="../ctrlProps/ctrlProp1101.xml"/><Relationship Id="rId1310" Type="http://schemas.openxmlformats.org/officeDocument/2006/relationships/ctrlProp" Target="../ctrlProps/ctrlProp1308.xml"/><Relationship Id="rId1408" Type="http://schemas.openxmlformats.org/officeDocument/2006/relationships/ctrlProp" Target="../ctrlProps/ctrlProp1406.xml"/><Relationship Id="rId47" Type="http://schemas.openxmlformats.org/officeDocument/2006/relationships/ctrlProp" Target="../ctrlProps/ctrlProp45.xml"/><Relationship Id="rId196" Type="http://schemas.openxmlformats.org/officeDocument/2006/relationships/ctrlProp" Target="../ctrlProps/ctrlProp194.xml"/><Relationship Id="rId263" Type="http://schemas.openxmlformats.org/officeDocument/2006/relationships/ctrlProp" Target="../ctrlProps/ctrlProp261.xml"/><Relationship Id="rId470" Type="http://schemas.openxmlformats.org/officeDocument/2006/relationships/ctrlProp" Target="../ctrlProps/ctrlProp468.xml"/><Relationship Id="rId123" Type="http://schemas.openxmlformats.org/officeDocument/2006/relationships/ctrlProp" Target="../ctrlProps/ctrlProp121.xml"/><Relationship Id="rId330" Type="http://schemas.openxmlformats.org/officeDocument/2006/relationships/ctrlProp" Target="../ctrlProps/ctrlProp328.xml"/><Relationship Id="rId568" Type="http://schemas.openxmlformats.org/officeDocument/2006/relationships/ctrlProp" Target="../ctrlProps/ctrlProp566.xml"/><Relationship Id="rId775" Type="http://schemas.openxmlformats.org/officeDocument/2006/relationships/ctrlProp" Target="../ctrlProps/ctrlProp773.xml"/><Relationship Id="rId982" Type="http://schemas.openxmlformats.org/officeDocument/2006/relationships/ctrlProp" Target="../ctrlProps/ctrlProp980.xml"/><Relationship Id="rId1198" Type="http://schemas.openxmlformats.org/officeDocument/2006/relationships/ctrlProp" Target="../ctrlProps/ctrlProp1196.xml"/><Relationship Id="rId428" Type="http://schemas.openxmlformats.org/officeDocument/2006/relationships/ctrlProp" Target="../ctrlProps/ctrlProp426.xml"/><Relationship Id="rId635" Type="http://schemas.openxmlformats.org/officeDocument/2006/relationships/ctrlProp" Target="../ctrlProps/ctrlProp633.xml"/><Relationship Id="rId842" Type="http://schemas.openxmlformats.org/officeDocument/2006/relationships/ctrlProp" Target="../ctrlProps/ctrlProp840.xml"/><Relationship Id="rId1058" Type="http://schemas.openxmlformats.org/officeDocument/2006/relationships/ctrlProp" Target="../ctrlProps/ctrlProp1056.xml"/><Relationship Id="rId1265" Type="http://schemas.openxmlformats.org/officeDocument/2006/relationships/ctrlProp" Target="../ctrlProps/ctrlProp1263.xml"/><Relationship Id="rId1472" Type="http://schemas.openxmlformats.org/officeDocument/2006/relationships/ctrlProp" Target="../ctrlProps/ctrlProp1470.xml"/><Relationship Id="rId702" Type="http://schemas.openxmlformats.org/officeDocument/2006/relationships/ctrlProp" Target="../ctrlProps/ctrlProp700.xml"/><Relationship Id="rId1125" Type="http://schemas.openxmlformats.org/officeDocument/2006/relationships/ctrlProp" Target="../ctrlProps/ctrlProp1123.xml"/><Relationship Id="rId1332" Type="http://schemas.openxmlformats.org/officeDocument/2006/relationships/ctrlProp" Target="../ctrlProps/ctrlProp1330.xml"/><Relationship Id="rId69" Type="http://schemas.openxmlformats.org/officeDocument/2006/relationships/ctrlProp" Target="../ctrlProps/ctrlProp67.xml"/><Relationship Id="rId285" Type="http://schemas.openxmlformats.org/officeDocument/2006/relationships/ctrlProp" Target="../ctrlProps/ctrlProp283.xml"/><Relationship Id="rId492" Type="http://schemas.openxmlformats.org/officeDocument/2006/relationships/ctrlProp" Target="../ctrlProps/ctrlProp490.xml"/><Relationship Id="rId797" Type="http://schemas.openxmlformats.org/officeDocument/2006/relationships/ctrlProp" Target="../ctrlProps/ctrlProp795.xml"/><Relationship Id="rId145" Type="http://schemas.openxmlformats.org/officeDocument/2006/relationships/ctrlProp" Target="../ctrlProps/ctrlProp143.xml"/><Relationship Id="rId352" Type="http://schemas.openxmlformats.org/officeDocument/2006/relationships/ctrlProp" Target="../ctrlProps/ctrlProp350.xml"/><Relationship Id="rId1287" Type="http://schemas.openxmlformats.org/officeDocument/2006/relationships/ctrlProp" Target="../ctrlProps/ctrlProp1285.xml"/><Relationship Id="rId212" Type="http://schemas.openxmlformats.org/officeDocument/2006/relationships/ctrlProp" Target="../ctrlProps/ctrlProp210.xml"/><Relationship Id="rId657" Type="http://schemas.openxmlformats.org/officeDocument/2006/relationships/ctrlProp" Target="../ctrlProps/ctrlProp655.xml"/><Relationship Id="rId864" Type="http://schemas.openxmlformats.org/officeDocument/2006/relationships/ctrlProp" Target="../ctrlProps/ctrlProp862.xml"/><Relationship Id="rId1494" Type="http://schemas.openxmlformats.org/officeDocument/2006/relationships/ctrlProp" Target="../ctrlProps/ctrlProp1492.xml"/><Relationship Id="rId517" Type="http://schemas.openxmlformats.org/officeDocument/2006/relationships/ctrlProp" Target="../ctrlProps/ctrlProp515.xml"/><Relationship Id="rId724" Type="http://schemas.openxmlformats.org/officeDocument/2006/relationships/ctrlProp" Target="../ctrlProps/ctrlProp722.xml"/><Relationship Id="rId931" Type="http://schemas.openxmlformats.org/officeDocument/2006/relationships/ctrlProp" Target="../ctrlProps/ctrlProp929.xml"/><Relationship Id="rId1147" Type="http://schemas.openxmlformats.org/officeDocument/2006/relationships/ctrlProp" Target="../ctrlProps/ctrlProp1145.xml"/><Relationship Id="rId1354" Type="http://schemas.openxmlformats.org/officeDocument/2006/relationships/ctrlProp" Target="../ctrlProps/ctrlProp1352.xml"/><Relationship Id="rId60" Type="http://schemas.openxmlformats.org/officeDocument/2006/relationships/ctrlProp" Target="../ctrlProps/ctrlProp58.xml"/><Relationship Id="rId1007" Type="http://schemas.openxmlformats.org/officeDocument/2006/relationships/ctrlProp" Target="../ctrlProps/ctrlProp1005.xml"/><Relationship Id="rId1214" Type="http://schemas.openxmlformats.org/officeDocument/2006/relationships/ctrlProp" Target="../ctrlProps/ctrlProp1212.xml"/><Relationship Id="rId1421" Type="http://schemas.openxmlformats.org/officeDocument/2006/relationships/ctrlProp" Target="../ctrlProps/ctrlProp1419.xml"/><Relationship Id="rId1519" Type="http://schemas.openxmlformats.org/officeDocument/2006/relationships/ctrlProp" Target="../ctrlProps/ctrlProp1517.xml"/><Relationship Id="rId18" Type="http://schemas.openxmlformats.org/officeDocument/2006/relationships/ctrlProp" Target="../ctrlProps/ctrlProp16.xml"/><Relationship Id="rId167" Type="http://schemas.openxmlformats.org/officeDocument/2006/relationships/ctrlProp" Target="../ctrlProps/ctrlProp165.xml"/><Relationship Id="rId374" Type="http://schemas.openxmlformats.org/officeDocument/2006/relationships/ctrlProp" Target="../ctrlProps/ctrlProp372.xml"/><Relationship Id="rId581" Type="http://schemas.openxmlformats.org/officeDocument/2006/relationships/ctrlProp" Target="../ctrlProps/ctrlProp579.xml"/><Relationship Id="rId234" Type="http://schemas.openxmlformats.org/officeDocument/2006/relationships/ctrlProp" Target="../ctrlProps/ctrlProp232.xml"/><Relationship Id="rId679" Type="http://schemas.openxmlformats.org/officeDocument/2006/relationships/ctrlProp" Target="../ctrlProps/ctrlProp677.xml"/><Relationship Id="rId886" Type="http://schemas.openxmlformats.org/officeDocument/2006/relationships/ctrlProp" Target="../ctrlProps/ctrlProp884.xml"/><Relationship Id="rId2" Type="http://schemas.openxmlformats.org/officeDocument/2006/relationships/vmlDrawing" Target="../drawings/vmlDrawing1.vml"/><Relationship Id="rId441" Type="http://schemas.openxmlformats.org/officeDocument/2006/relationships/ctrlProp" Target="../ctrlProps/ctrlProp439.xml"/><Relationship Id="rId539" Type="http://schemas.openxmlformats.org/officeDocument/2006/relationships/ctrlProp" Target="../ctrlProps/ctrlProp537.xml"/><Relationship Id="rId746" Type="http://schemas.openxmlformats.org/officeDocument/2006/relationships/ctrlProp" Target="../ctrlProps/ctrlProp744.xml"/><Relationship Id="rId1071" Type="http://schemas.openxmlformats.org/officeDocument/2006/relationships/ctrlProp" Target="../ctrlProps/ctrlProp1069.xml"/><Relationship Id="rId1169" Type="http://schemas.openxmlformats.org/officeDocument/2006/relationships/ctrlProp" Target="../ctrlProps/ctrlProp1167.xml"/><Relationship Id="rId1376" Type="http://schemas.openxmlformats.org/officeDocument/2006/relationships/ctrlProp" Target="../ctrlProps/ctrlProp1374.xml"/><Relationship Id="rId301" Type="http://schemas.openxmlformats.org/officeDocument/2006/relationships/ctrlProp" Target="../ctrlProps/ctrlProp299.xml"/><Relationship Id="rId953" Type="http://schemas.openxmlformats.org/officeDocument/2006/relationships/ctrlProp" Target="../ctrlProps/ctrlProp951.xml"/><Relationship Id="rId1029" Type="http://schemas.openxmlformats.org/officeDocument/2006/relationships/ctrlProp" Target="../ctrlProps/ctrlProp1027.xml"/><Relationship Id="rId1236" Type="http://schemas.openxmlformats.org/officeDocument/2006/relationships/ctrlProp" Target="../ctrlProps/ctrlProp1234.xml"/><Relationship Id="rId82" Type="http://schemas.openxmlformats.org/officeDocument/2006/relationships/ctrlProp" Target="../ctrlProps/ctrlProp80.xml"/><Relationship Id="rId606" Type="http://schemas.openxmlformats.org/officeDocument/2006/relationships/ctrlProp" Target="../ctrlProps/ctrlProp604.xml"/><Relationship Id="rId813" Type="http://schemas.openxmlformats.org/officeDocument/2006/relationships/ctrlProp" Target="../ctrlProps/ctrlProp811.xml"/><Relationship Id="rId1443" Type="http://schemas.openxmlformats.org/officeDocument/2006/relationships/ctrlProp" Target="../ctrlProps/ctrlProp1441.xml"/><Relationship Id="rId1303" Type="http://schemas.openxmlformats.org/officeDocument/2006/relationships/ctrlProp" Target="../ctrlProps/ctrlProp1301.xml"/><Relationship Id="rId1510" Type="http://schemas.openxmlformats.org/officeDocument/2006/relationships/ctrlProp" Target="../ctrlProps/ctrlProp1508.xml"/><Relationship Id="rId189" Type="http://schemas.openxmlformats.org/officeDocument/2006/relationships/ctrlProp" Target="../ctrlProps/ctrlProp187.xml"/><Relationship Id="rId396" Type="http://schemas.openxmlformats.org/officeDocument/2006/relationships/ctrlProp" Target="../ctrlProps/ctrlProp394.xml"/><Relationship Id="rId256" Type="http://schemas.openxmlformats.org/officeDocument/2006/relationships/ctrlProp" Target="../ctrlProps/ctrlProp254.xml"/><Relationship Id="rId463" Type="http://schemas.openxmlformats.org/officeDocument/2006/relationships/ctrlProp" Target="../ctrlProps/ctrlProp461.xml"/><Relationship Id="rId670" Type="http://schemas.openxmlformats.org/officeDocument/2006/relationships/ctrlProp" Target="../ctrlProps/ctrlProp668.xml"/><Relationship Id="rId1093" Type="http://schemas.openxmlformats.org/officeDocument/2006/relationships/ctrlProp" Target="../ctrlProps/ctrlProp1091.xml"/><Relationship Id="rId116" Type="http://schemas.openxmlformats.org/officeDocument/2006/relationships/ctrlProp" Target="../ctrlProps/ctrlProp114.xml"/><Relationship Id="rId323" Type="http://schemas.openxmlformats.org/officeDocument/2006/relationships/ctrlProp" Target="../ctrlProps/ctrlProp321.xml"/><Relationship Id="rId530" Type="http://schemas.openxmlformats.org/officeDocument/2006/relationships/ctrlProp" Target="../ctrlProps/ctrlProp528.xml"/><Relationship Id="rId768" Type="http://schemas.openxmlformats.org/officeDocument/2006/relationships/ctrlProp" Target="../ctrlProps/ctrlProp766.xml"/><Relationship Id="rId975" Type="http://schemas.openxmlformats.org/officeDocument/2006/relationships/ctrlProp" Target="../ctrlProps/ctrlProp973.xml"/><Relationship Id="rId1160" Type="http://schemas.openxmlformats.org/officeDocument/2006/relationships/ctrlProp" Target="../ctrlProps/ctrlProp1158.xml"/><Relationship Id="rId1398" Type="http://schemas.openxmlformats.org/officeDocument/2006/relationships/ctrlProp" Target="../ctrlProps/ctrlProp1396.xml"/><Relationship Id="rId628" Type="http://schemas.openxmlformats.org/officeDocument/2006/relationships/ctrlProp" Target="../ctrlProps/ctrlProp626.xml"/><Relationship Id="rId835" Type="http://schemas.openxmlformats.org/officeDocument/2006/relationships/ctrlProp" Target="../ctrlProps/ctrlProp833.xml"/><Relationship Id="rId1258" Type="http://schemas.openxmlformats.org/officeDocument/2006/relationships/ctrlProp" Target="../ctrlProps/ctrlProp1256.xml"/><Relationship Id="rId1465" Type="http://schemas.openxmlformats.org/officeDocument/2006/relationships/ctrlProp" Target="../ctrlProps/ctrlProp1463.xml"/><Relationship Id="rId1020" Type="http://schemas.openxmlformats.org/officeDocument/2006/relationships/ctrlProp" Target="../ctrlProps/ctrlProp1018.xml"/><Relationship Id="rId1118" Type="http://schemas.openxmlformats.org/officeDocument/2006/relationships/ctrlProp" Target="../ctrlProps/ctrlProp1116.xml"/><Relationship Id="rId1325" Type="http://schemas.openxmlformats.org/officeDocument/2006/relationships/ctrlProp" Target="../ctrlProps/ctrlProp1323.xml"/><Relationship Id="rId1532" Type="http://schemas.openxmlformats.org/officeDocument/2006/relationships/ctrlProp" Target="../ctrlProps/ctrlProp1530.xml"/><Relationship Id="rId902" Type="http://schemas.openxmlformats.org/officeDocument/2006/relationships/ctrlProp" Target="../ctrlProps/ctrlProp900.xml"/><Relationship Id="rId31" Type="http://schemas.openxmlformats.org/officeDocument/2006/relationships/ctrlProp" Target="../ctrlProps/ctrlProp29.xml"/><Relationship Id="rId180" Type="http://schemas.openxmlformats.org/officeDocument/2006/relationships/ctrlProp" Target="../ctrlProps/ctrlProp178.xml"/><Relationship Id="rId278" Type="http://schemas.openxmlformats.org/officeDocument/2006/relationships/ctrlProp" Target="../ctrlProps/ctrlProp276.xml"/><Relationship Id="rId485" Type="http://schemas.openxmlformats.org/officeDocument/2006/relationships/ctrlProp" Target="../ctrlProps/ctrlProp483.xml"/><Relationship Id="rId692" Type="http://schemas.openxmlformats.org/officeDocument/2006/relationships/ctrlProp" Target="../ctrlProps/ctrlProp690.xml"/><Relationship Id="rId138" Type="http://schemas.openxmlformats.org/officeDocument/2006/relationships/ctrlProp" Target="../ctrlProps/ctrlProp136.xml"/><Relationship Id="rId345" Type="http://schemas.openxmlformats.org/officeDocument/2006/relationships/ctrlProp" Target="../ctrlProps/ctrlProp343.xml"/><Relationship Id="rId552" Type="http://schemas.openxmlformats.org/officeDocument/2006/relationships/ctrlProp" Target="../ctrlProps/ctrlProp550.xml"/><Relationship Id="rId997" Type="http://schemas.openxmlformats.org/officeDocument/2006/relationships/ctrlProp" Target="../ctrlProps/ctrlProp995.xml"/><Relationship Id="rId1182" Type="http://schemas.openxmlformats.org/officeDocument/2006/relationships/ctrlProp" Target="../ctrlProps/ctrlProp1180.xml"/><Relationship Id="rId205" Type="http://schemas.openxmlformats.org/officeDocument/2006/relationships/ctrlProp" Target="../ctrlProps/ctrlProp203.xml"/><Relationship Id="rId412" Type="http://schemas.openxmlformats.org/officeDocument/2006/relationships/ctrlProp" Target="../ctrlProps/ctrlProp410.xml"/><Relationship Id="rId857" Type="http://schemas.openxmlformats.org/officeDocument/2006/relationships/ctrlProp" Target="../ctrlProps/ctrlProp855.xml"/><Relationship Id="rId1042" Type="http://schemas.openxmlformats.org/officeDocument/2006/relationships/ctrlProp" Target="../ctrlProps/ctrlProp1040.xml"/><Relationship Id="rId1487" Type="http://schemas.openxmlformats.org/officeDocument/2006/relationships/ctrlProp" Target="../ctrlProps/ctrlProp1485.xml"/><Relationship Id="rId717" Type="http://schemas.openxmlformats.org/officeDocument/2006/relationships/ctrlProp" Target="../ctrlProps/ctrlProp715.xml"/><Relationship Id="rId924" Type="http://schemas.openxmlformats.org/officeDocument/2006/relationships/ctrlProp" Target="../ctrlProps/ctrlProp922.xml"/><Relationship Id="rId1347" Type="http://schemas.openxmlformats.org/officeDocument/2006/relationships/ctrlProp" Target="../ctrlProps/ctrlProp1345.xml"/><Relationship Id="rId53" Type="http://schemas.openxmlformats.org/officeDocument/2006/relationships/ctrlProp" Target="../ctrlProps/ctrlProp51.xml"/><Relationship Id="rId1207" Type="http://schemas.openxmlformats.org/officeDocument/2006/relationships/ctrlProp" Target="../ctrlProps/ctrlProp1205.xml"/><Relationship Id="rId1414" Type="http://schemas.openxmlformats.org/officeDocument/2006/relationships/ctrlProp" Target="../ctrlProps/ctrlProp1412.xml"/><Relationship Id="rId367" Type="http://schemas.openxmlformats.org/officeDocument/2006/relationships/ctrlProp" Target="../ctrlProps/ctrlProp365.xml"/><Relationship Id="rId574" Type="http://schemas.openxmlformats.org/officeDocument/2006/relationships/ctrlProp" Target="../ctrlProps/ctrlProp572.xml"/><Relationship Id="rId227" Type="http://schemas.openxmlformats.org/officeDocument/2006/relationships/ctrlProp" Target="../ctrlProps/ctrlProp225.xml"/><Relationship Id="rId781" Type="http://schemas.openxmlformats.org/officeDocument/2006/relationships/ctrlProp" Target="../ctrlProps/ctrlProp779.xml"/><Relationship Id="rId879" Type="http://schemas.openxmlformats.org/officeDocument/2006/relationships/ctrlProp" Target="../ctrlProps/ctrlProp877.xml"/><Relationship Id="rId434" Type="http://schemas.openxmlformats.org/officeDocument/2006/relationships/ctrlProp" Target="../ctrlProps/ctrlProp432.xml"/><Relationship Id="rId641" Type="http://schemas.openxmlformats.org/officeDocument/2006/relationships/ctrlProp" Target="../ctrlProps/ctrlProp639.xml"/><Relationship Id="rId739" Type="http://schemas.openxmlformats.org/officeDocument/2006/relationships/ctrlProp" Target="../ctrlProps/ctrlProp737.xml"/><Relationship Id="rId1064" Type="http://schemas.openxmlformats.org/officeDocument/2006/relationships/ctrlProp" Target="../ctrlProps/ctrlProp1062.xml"/><Relationship Id="rId1271" Type="http://schemas.openxmlformats.org/officeDocument/2006/relationships/ctrlProp" Target="../ctrlProps/ctrlProp1269.xml"/><Relationship Id="rId1369" Type="http://schemas.openxmlformats.org/officeDocument/2006/relationships/ctrlProp" Target="../ctrlProps/ctrlProp1367.xml"/><Relationship Id="rId501" Type="http://schemas.openxmlformats.org/officeDocument/2006/relationships/ctrlProp" Target="../ctrlProps/ctrlProp499.xml"/><Relationship Id="rId946" Type="http://schemas.openxmlformats.org/officeDocument/2006/relationships/ctrlProp" Target="../ctrlProps/ctrlProp944.xml"/><Relationship Id="rId1131" Type="http://schemas.openxmlformats.org/officeDocument/2006/relationships/ctrlProp" Target="../ctrlProps/ctrlProp1129.xml"/><Relationship Id="rId1229" Type="http://schemas.openxmlformats.org/officeDocument/2006/relationships/ctrlProp" Target="../ctrlProps/ctrlProp1227.xml"/><Relationship Id="rId75" Type="http://schemas.openxmlformats.org/officeDocument/2006/relationships/ctrlProp" Target="../ctrlProps/ctrlProp73.xml"/><Relationship Id="rId806" Type="http://schemas.openxmlformats.org/officeDocument/2006/relationships/ctrlProp" Target="../ctrlProps/ctrlProp804.xml"/><Relationship Id="rId1436" Type="http://schemas.openxmlformats.org/officeDocument/2006/relationships/ctrlProp" Target="../ctrlProps/ctrlProp1434.xml"/><Relationship Id="rId1503" Type="http://schemas.openxmlformats.org/officeDocument/2006/relationships/ctrlProp" Target="../ctrlProps/ctrlProp1501.xml"/><Relationship Id="rId291" Type="http://schemas.openxmlformats.org/officeDocument/2006/relationships/ctrlProp" Target="../ctrlProps/ctrlProp289.xml"/><Relationship Id="rId151" Type="http://schemas.openxmlformats.org/officeDocument/2006/relationships/ctrlProp" Target="../ctrlProps/ctrlProp149.xml"/><Relationship Id="rId389" Type="http://schemas.openxmlformats.org/officeDocument/2006/relationships/ctrlProp" Target="../ctrlProps/ctrlProp387.xml"/><Relationship Id="rId596" Type="http://schemas.openxmlformats.org/officeDocument/2006/relationships/ctrlProp" Target="../ctrlProps/ctrlProp594.xml"/><Relationship Id="rId249" Type="http://schemas.openxmlformats.org/officeDocument/2006/relationships/ctrlProp" Target="../ctrlProps/ctrlProp247.xml"/><Relationship Id="rId456" Type="http://schemas.openxmlformats.org/officeDocument/2006/relationships/ctrlProp" Target="../ctrlProps/ctrlProp454.xml"/><Relationship Id="rId663" Type="http://schemas.openxmlformats.org/officeDocument/2006/relationships/ctrlProp" Target="../ctrlProps/ctrlProp661.xml"/><Relationship Id="rId870" Type="http://schemas.openxmlformats.org/officeDocument/2006/relationships/ctrlProp" Target="../ctrlProps/ctrlProp868.xml"/><Relationship Id="rId1086" Type="http://schemas.openxmlformats.org/officeDocument/2006/relationships/ctrlProp" Target="../ctrlProps/ctrlProp1084.xml"/><Relationship Id="rId1293" Type="http://schemas.openxmlformats.org/officeDocument/2006/relationships/ctrlProp" Target="../ctrlProps/ctrlProp1291.xml"/><Relationship Id="rId109" Type="http://schemas.openxmlformats.org/officeDocument/2006/relationships/ctrlProp" Target="../ctrlProps/ctrlProp107.xml"/><Relationship Id="rId316" Type="http://schemas.openxmlformats.org/officeDocument/2006/relationships/ctrlProp" Target="../ctrlProps/ctrlProp314.xml"/><Relationship Id="rId523" Type="http://schemas.openxmlformats.org/officeDocument/2006/relationships/ctrlProp" Target="../ctrlProps/ctrlProp521.xml"/><Relationship Id="rId968" Type="http://schemas.openxmlformats.org/officeDocument/2006/relationships/ctrlProp" Target="../ctrlProps/ctrlProp966.xml"/><Relationship Id="rId1153" Type="http://schemas.openxmlformats.org/officeDocument/2006/relationships/ctrlProp" Target="../ctrlProps/ctrlProp1151.xml"/><Relationship Id="rId97" Type="http://schemas.openxmlformats.org/officeDocument/2006/relationships/ctrlProp" Target="../ctrlProps/ctrlProp95.xml"/><Relationship Id="rId730" Type="http://schemas.openxmlformats.org/officeDocument/2006/relationships/ctrlProp" Target="../ctrlProps/ctrlProp728.xml"/><Relationship Id="rId828" Type="http://schemas.openxmlformats.org/officeDocument/2006/relationships/ctrlProp" Target="../ctrlProps/ctrlProp826.xml"/><Relationship Id="rId1013" Type="http://schemas.openxmlformats.org/officeDocument/2006/relationships/ctrlProp" Target="../ctrlProps/ctrlProp1011.xml"/><Relationship Id="rId1360" Type="http://schemas.openxmlformats.org/officeDocument/2006/relationships/ctrlProp" Target="../ctrlProps/ctrlProp1358.xml"/><Relationship Id="rId1458" Type="http://schemas.openxmlformats.org/officeDocument/2006/relationships/ctrlProp" Target="../ctrlProps/ctrlProp1456.xml"/><Relationship Id="rId1220" Type="http://schemas.openxmlformats.org/officeDocument/2006/relationships/ctrlProp" Target="../ctrlProps/ctrlProp1218.xml"/><Relationship Id="rId1318" Type="http://schemas.openxmlformats.org/officeDocument/2006/relationships/ctrlProp" Target="../ctrlProps/ctrlProp1316.xml"/><Relationship Id="rId1525" Type="http://schemas.openxmlformats.org/officeDocument/2006/relationships/ctrlProp" Target="../ctrlProps/ctrlProp1523.xml"/><Relationship Id="rId24" Type="http://schemas.openxmlformats.org/officeDocument/2006/relationships/ctrlProp" Target="../ctrlProps/ctrlProp22.xml"/><Relationship Id="rId173" Type="http://schemas.openxmlformats.org/officeDocument/2006/relationships/ctrlProp" Target="../ctrlProps/ctrlProp171.xml"/><Relationship Id="rId380" Type="http://schemas.openxmlformats.org/officeDocument/2006/relationships/ctrlProp" Target="../ctrlProps/ctrlProp378.xml"/><Relationship Id="rId240" Type="http://schemas.openxmlformats.org/officeDocument/2006/relationships/ctrlProp" Target="../ctrlProps/ctrlProp238.xml"/><Relationship Id="rId478" Type="http://schemas.openxmlformats.org/officeDocument/2006/relationships/ctrlProp" Target="../ctrlProps/ctrlProp476.xml"/><Relationship Id="rId685" Type="http://schemas.openxmlformats.org/officeDocument/2006/relationships/ctrlProp" Target="../ctrlProps/ctrlProp683.xml"/><Relationship Id="rId892" Type="http://schemas.openxmlformats.org/officeDocument/2006/relationships/ctrlProp" Target="../ctrlProps/ctrlProp890.xml"/><Relationship Id="rId100" Type="http://schemas.openxmlformats.org/officeDocument/2006/relationships/ctrlProp" Target="../ctrlProps/ctrlProp98.xml"/><Relationship Id="rId338" Type="http://schemas.openxmlformats.org/officeDocument/2006/relationships/ctrlProp" Target="../ctrlProps/ctrlProp336.xml"/><Relationship Id="rId545" Type="http://schemas.openxmlformats.org/officeDocument/2006/relationships/ctrlProp" Target="../ctrlProps/ctrlProp543.xml"/><Relationship Id="rId752" Type="http://schemas.openxmlformats.org/officeDocument/2006/relationships/ctrlProp" Target="../ctrlProps/ctrlProp750.xml"/><Relationship Id="rId1175" Type="http://schemas.openxmlformats.org/officeDocument/2006/relationships/ctrlProp" Target="../ctrlProps/ctrlProp1173.xml"/><Relationship Id="rId1382" Type="http://schemas.openxmlformats.org/officeDocument/2006/relationships/ctrlProp" Target="../ctrlProps/ctrlProp1380.xml"/><Relationship Id="rId405" Type="http://schemas.openxmlformats.org/officeDocument/2006/relationships/ctrlProp" Target="../ctrlProps/ctrlProp403.xml"/><Relationship Id="rId612" Type="http://schemas.openxmlformats.org/officeDocument/2006/relationships/ctrlProp" Target="../ctrlProps/ctrlProp610.xml"/><Relationship Id="rId1035" Type="http://schemas.openxmlformats.org/officeDocument/2006/relationships/ctrlProp" Target="../ctrlProps/ctrlProp1033.xml"/><Relationship Id="rId1242" Type="http://schemas.openxmlformats.org/officeDocument/2006/relationships/ctrlProp" Target="../ctrlProps/ctrlProp1240.xml"/><Relationship Id="rId917" Type="http://schemas.openxmlformats.org/officeDocument/2006/relationships/ctrlProp" Target="../ctrlProps/ctrlProp915.xml"/><Relationship Id="rId1102" Type="http://schemas.openxmlformats.org/officeDocument/2006/relationships/ctrlProp" Target="../ctrlProps/ctrlProp1100.xml"/><Relationship Id="rId1547" Type="http://schemas.openxmlformats.org/officeDocument/2006/relationships/ctrlProp" Target="../ctrlProps/ctrlProp1545.xml"/><Relationship Id="rId46" Type="http://schemas.openxmlformats.org/officeDocument/2006/relationships/ctrlProp" Target="../ctrlProps/ctrlProp44.xml"/><Relationship Id="rId1407" Type="http://schemas.openxmlformats.org/officeDocument/2006/relationships/ctrlProp" Target="../ctrlProps/ctrlProp1405.xml"/><Relationship Id="rId195" Type="http://schemas.openxmlformats.org/officeDocument/2006/relationships/ctrlProp" Target="../ctrlProps/ctrlProp193.xml"/><Relationship Id="rId262" Type="http://schemas.openxmlformats.org/officeDocument/2006/relationships/ctrlProp" Target="../ctrlProps/ctrlProp260.xml"/><Relationship Id="rId567" Type="http://schemas.openxmlformats.org/officeDocument/2006/relationships/ctrlProp" Target="../ctrlProps/ctrlProp565.xml"/><Relationship Id="rId1197" Type="http://schemas.openxmlformats.org/officeDocument/2006/relationships/ctrlProp" Target="../ctrlProps/ctrlProp1195.xml"/><Relationship Id="rId122" Type="http://schemas.openxmlformats.org/officeDocument/2006/relationships/ctrlProp" Target="../ctrlProps/ctrlProp120.xml"/><Relationship Id="rId774" Type="http://schemas.openxmlformats.org/officeDocument/2006/relationships/ctrlProp" Target="../ctrlProps/ctrlProp772.xml"/><Relationship Id="rId981" Type="http://schemas.openxmlformats.org/officeDocument/2006/relationships/ctrlProp" Target="../ctrlProps/ctrlProp979.xml"/><Relationship Id="rId1057" Type="http://schemas.openxmlformats.org/officeDocument/2006/relationships/ctrlProp" Target="../ctrlProps/ctrlProp1055.xml"/><Relationship Id="rId427" Type="http://schemas.openxmlformats.org/officeDocument/2006/relationships/ctrlProp" Target="../ctrlProps/ctrlProp425.xml"/><Relationship Id="rId634" Type="http://schemas.openxmlformats.org/officeDocument/2006/relationships/ctrlProp" Target="../ctrlProps/ctrlProp632.xml"/><Relationship Id="rId841" Type="http://schemas.openxmlformats.org/officeDocument/2006/relationships/ctrlProp" Target="../ctrlProps/ctrlProp839.xml"/><Relationship Id="rId1264" Type="http://schemas.openxmlformats.org/officeDocument/2006/relationships/ctrlProp" Target="../ctrlProps/ctrlProp1262.xml"/><Relationship Id="rId1471" Type="http://schemas.openxmlformats.org/officeDocument/2006/relationships/ctrlProp" Target="../ctrlProps/ctrlProp1469.xml"/><Relationship Id="rId701" Type="http://schemas.openxmlformats.org/officeDocument/2006/relationships/ctrlProp" Target="../ctrlProps/ctrlProp699.xml"/><Relationship Id="rId939" Type="http://schemas.openxmlformats.org/officeDocument/2006/relationships/ctrlProp" Target="../ctrlProps/ctrlProp937.xml"/><Relationship Id="rId1124" Type="http://schemas.openxmlformats.org/officeDocument/2006/relationships/ctrlProp" Target="../ctrlProps/ctrlProp1122.xml"/><Relationship Id="rId1331" Type="http://schemas.openxmlformats.org/officeDocument/2006/relationships/ctrlProp" Target="../ctrlProps/ctrlProp1329.xml"/><Relationship Id="rId68" Type="http://schemas.openxmlformats.org/officeDocument/2006/relationships/ctrlProp" Target="../ctrlProps/ctrlProp66.xml"/><Relationship Id="rId1429" Type="http://schemas.openxmlformats.org/officeDocument/2006/relationships/ctrlProp" Target="../ctrlProps/ctrlProp1427.xml"/><Relationship Id="rId284" Type="http://schemas.openxmlformats.org/officeDocument/2006/relationships/ctrlProp" Target="../ctrlProps/ctrlProp282.xml"/><Relationship Id="rId491" Type="http://schemas.openxmlformats.org/officeDocument/2006/relationships/ctrlProp" Target="../ctrlProps/ctrlProp489.xml"/><Relationship Id="rId144" Type="http://schemas.openxmlformats.org/officeDocument/2006/relationships/ctrlProp" Target="../ctrlProps/ctrlProp142.xml"/><Relationship Id="rId589" Type="http://schemas.openxmlformats.org/officeDocument/2006/relationships/ctrlProp" Target="../ctrlProps/ctrlProp587.xml"/><Relationship Id="rId796" Type="http://schemas.openxmlformats.org/officeDocument/2006/relationships/ctrlProp" Target="../ctrlProps/ctrlProp794.xml"/><Relationship Id="rId351" Type="http://schemas.openxmlformats.org/officeDocument/2006/relationships/ctrlProp" Target="../ctrlProps/ctrlProp349.xml"/><Relationship Id="rId449" Type="http://schemas.openxmlformats.org/officeDocument/2006/relationships/ctrlProp" Target="../ctrlProps/ctrlProp447.xml"/><Relationship Id="rId656" Type="http://schemas.openxmlformats.org/officeDocument/2006/relationships/ctrlProp" Target="../ctrlProps/ctrlProp654.xml"/><Relationship Id="rId863" Type="http://schemas.openxmlformats.org/officeDocument/2006/relationships/ctrlProp" Target="../ctrlProps/ctrlProp861.xml"/><Relationship Id="rId1079" Type="http://schemas.openxmlformats.org/officeDocument/2006/relationships/ctrlProp" Target="../ctrlProps/ctrlProp1077.xml"/><Relationship Id="rId1286" Type="http://schemas.openxmlformats.org/officeDocument/2006/relationships/ctrlProp" Target="../ctrlProps/ctrlProp1284.xml"/><Relationship Id="rId1493" Type="http://schemas.openxmlformats.org/officeDocument/2006/relationships/ctrlProp" Target="../ctrlProps/ctrlProp1491.xml"/><Relationship Id="rId211" Type="http://schemas.openxmlformats.org/officeDocument/2006/relationships/ctrlProp" Target="../ctrlProps/ctrlProp209.xml"/><Relationship Id="rId309" Type="http://schemas.openxmlformats.org/officeDocument/2006/relationships/ctrlProp" Target="../ctrlProps/ctrlProp307.xml"/><Relationship Id="rId516" Type="http://schemas.openxmlformats.org/officeDocument/2006/relationships/ctrlProp" Target="../ctrlProps/ctrlProp514.xml"/><Relationship Id="rId1146" Type="http://schemas.openxmlformats.org/officeDocument/2006/relationships/ctrlProp" Target="../ctrlProps/ctrlProp1144.xml"/><Relationship Id="rId723" Type="http://schemas.openxmlformats.org/officeDocument/2006/relationships/ctrlProp" Target="../ctrlProps/ctrlProp721.xml"/><Relationship Id="rId930" Type="http://schemas.openxmlformats.org/officeDocument/2006/relationships/ctrlProp" Target="../ctrlProps/ctrlProp928.xml"/><Relationship Id="rId1006" Type="http://schemas.openxmlformats.org/officeDocument/2006/relationships/ctrlProp" Target="../ctrlProps/ctrlProp1004.xml"/><Relationship Id="rId1353" Type="http://schemas.openxmlformats.org/officeDocument/2006/relationships/ctrlProp" Target="../ctrlProps/ctrlProp1351.xml"/><Relationship Id="rId1213" Type="http://schemas.openxmlformats.org/officeDocument/2006/relationships/ctrlProp" Target="../ctrlProps/ctrlProp1211.xml"/><Relationship Id="rId1420" Type="http://schemas.openxmlformats.org/officeDocument/2006/relationships/ctrlProp" Target="../ctrlProps/ctrlProp1418.xml"/><Relationship Id="rId1518" Type="http://schemas.openxmlformats.org/officeDocument/2006/relationships/ctrlProp" Target="../ctrlProps/ctrlProp1516.xml"/><Relationship Id="rId17" Type="http://schemas.openxmlformats.org/officeDocument/2006/relationships/ctrlProp" Target="../ctrlProps/ctrlProp15.xml"/><Relationship Id="rId166" Type="http://schemas.openxmlformats.org/officeDocument/2006/relationships/ctrlProp" Target="../ctrlProps/ctrlProp164.xml"/><Relationship Id="rId373" Type="http://schemas.openxmlformats.org/officeDocument/2006/relationships/ctrlProp" Target="../ctrlProps/ctrlProp371.xml"/><Relationship Id="rId580" Type="http://schemas.openxmlformats.org/officeDocument/2006/relationships/ctrlProp" Target="../ctrlProps/ctrlProp578.xml"/><Relationship Id="rId1" Type="http://schemas.openxmlformats.org/officeDocument/2006/relationships/drawing" Target="../drawings/drawing1.xml"/><Relationship Id="rId233" Type="http://schemas.openxmlformats.org/officeDocument/2006/relationships/ctrlProp" Target="../ctrlProps/ctrlProp231.xml"/><Relationship Id="rId440" Type="http://schemas.openxmlformats.org/officeDocument/2006/relationships/ctrlProp" Target="../ctrlProps/ctrlProp438.xml"/><Relationship Id="rId678" Type="http://schemas.openxmlformats.org/officeDocument/2006/relationships/ctrlProp" Target="../ctrlProps/ctrlProp676.xml"/><Relationship Id="rId885" Type="http://schemas.openxmlformats.org/officeDocument/2006/relationships/ctrlProp" Target="../ctrlProps/ctrlProp883.xml"/><Relationship Id="rId1070" Type="http://schemas.openxmlformats.org/officeDocument/2006/relationships/ctrlProp" Target="../ctrlProps/ctrlProp1068.xml"/><Relationship Id="rId300" Type="http://schemas.openxmlformats.org/officeDocument/2006/relationships/ctrlProp" Target="../ctrlProps/ctrlProp298.xml"/><Relationship Id="rId538" Type="http://schemas.openxmlformats.org/officeDocument/2006/relationships/ctrlProp" Target="../ctrlProps/ctrlProp536.xml"/><Relationship Id="rId745" Type="http://schemas.openxmlformats.org/officeDocument/2006/relationships/ctrlProp" Target="../ctrlProps/ctrlProp743.xml"/><Relationship Id="rId952" Type="http://schemas.openxmlformats.org/officeDocument/2006/relationships/ctrlProp" Target="../ctrlProps/ctrlProp950.xml"/><Relationship Id="rId1168" Type="http://schemas.openxmlformats.org/officeDocument/2006/relationships/ctrlProp" Target="../ctrlProps/ctrlProp1166.xml"/><Relationship Id="rId1375" Type="http://schemas.openxmlformats.org/officeDocument/2006/relationships/ctrlProp" Target="../ctrlProps/ctrlProp1373.xml"/><Relationship Id="rId81" Type="http://schemas.openxmlformats.org/officeDocument/2006/relationships/ctrlProp" Target="../ctrlProps/ctrlProp79.xml"/><Relationship Id="rId605" Type="http://schemas.openxmlformats.org/officeDocument/2006/relationships/ctrlProp" Target="../ctrlProps/ctrlProp603.xml"/><Relationship Id="rId812" Type="http://schemas.openxmlformats.org/officeDocument/2006/relationships/ctrlProp" Target="../ctrlProps/ctrlProp810.xml"/><Relationship Id="rId1028" Type="http://schemas.openxmlformats.org/officeDocument/2006/relationships/ctrlProp" Target="../ctrlProps/ctrlProp1026.xml"/><Relationship Id="rId1235" Type="http://schemas.openxmlformats.org/officeDocument/2006/relationships/ctrlProp" Target="../ctrlProps/ctrlProp1233.xml"/><Relationship Id="rId1442" Type="http://schemas.openxmlformats.org/officeDocument/2006/relationships/ctrlProp" Target="../ctrlProps/ctrlProp1440.xml"/><Relationship Id="rId1302" Type="http://schemas.openxmlformats.org/officeDocument/2006/relationships/ctrlProp" Target="../ctrlProps/ctrlProp1300.xml"/><Relationship Id="rId39" Type="http://schemas.openxmlformats.org/officeDocument/2006/relationships/ctrlProp" Target="../ctrlProps/ctrlProp37.xml"/><Relationship Id="rId188" Type="http://schemas.openxmlformats.org/officeDocument/2006/relationships/ctrlProp" Target="../ctrlProps/ctrlProp186.xml"/><Relationship Id="rId395" Type="http://schemas.openxmlformats.org/officeDocument/2006/relationships/ctrlProp" Target="../ctrlProps/ctrlProp393.xml"/><Relationship Id="rId255" Type="http://schemas.openxmlformats.org/officeDocument/2006/relationships/ctrlProp" Target="../ctrlProps/ctrlProp253.xml"/><Relationship Id="rId462" Type="http://schemas.openxmlformats.org/officeDocument/2006/relationships/ctrlProp" Target="../ctrlProps/ctrlProp460.xml"/><Relationship Id="rId1092" Type="http://schemas.openxmlformats.org/officeDocument/2006/relationships/ctrlProp" Target="../ctrlProps/ctrlProp1090.xml"/><Relationship Id="rId1397" Type="http://schemas.openxmlformats.org/officeDocument/2006/relationships/ctrlProp" Target="../ctrlProps/ctrlProp1395.xml"/><Relationship Id="rId115" Type="http://schemas.openxmlformats.org/officeDocument/2006/relationships/ctrlProp" Target="../ctrlProps/ctrlProp113.xml"/><Relationship Id="rId322" Type="http://schemas.openxmlformats.org/officeDocument/2006/relationships/ctrlProp" Target="../ctrlProps/ctrlProp320.xml"/><Relationship Id="rId767" Type="http://schemas.openxmlformats.org/officeDocument/2006/relationships/ctrlProp" Target="../ctrlProps/ctrlProp765.xml"/><Relationship Id="rId974" Type="http://schemas.openxmlformats.org/officeDocument/2006/relationships/ctrlProp" Target="../ctrlProps/ctrlProp972.xml"/><Relationship Id="rId627" Type="http://schemas.openxmlformats.org/officeDocument/2006/relationships/ctrlProp" Target="../ctrlProps/ctrlProp625.xml"/><Relationship Id="rId834" Type="http://schemas.openxmlformats.org/officeDocument/2006/relationships/ctrlProp" Target="../ctrlProps/ctrlProp832.xml"/><Relationship Id="rId1257" Type="http://schemas.openxmlformats.org/officeDocument/2006/relationships/ctrlProp" Target="../ctrlProps/ctrlProp1255.xml"/><Relationship Id="rId1464" Type="http://schemas.openxmlformats.org/officeDocument/2006/relationships/ctrlProp" Target="../ctrlProps/ctrlProp1462.xml"/><Relationship Id="rId901" Type="http://schemas.openxmlformats.org/officeDocument/2006/relationships/ctrlProp" Target="../ctrlProps/ctrlProp899.xml"/><Relationship Id="rId1117" Type="http://schemas.openxmlformats.org/officeDocument/2006/relationships/ctrlProp" Target="../ctrlProps/ctrlProp1115.xml"/><Relationship Id="rId1324" Type="http://schemas.openxmlformats.org/officeDocument/2006/relationships/ctrlProp" Target="../ctrlProps/ctrlProp1322.xml"/><Relationship Id="rId1531" Type="http://schemas.openxmlformats.org/officeDocument/2006/relationships/ctrlProp" Target="../ctrlProps/ctrlProp1529.xml"/><Relationship Id="rId30" Type="http://schemas.openxmlformats.org/officeDocument/2006/relationships/ctrlProp" Target="../ctrlProps/ctrlProp28.xml"/><Relationship Id="rId277" Type="http://schemas.openxmlformats.org/officeDocument/2006/relationships/ctrlProp" Target="../ctrlProps/ctrlProp275.xml"/><Relationship Id="rId484" Type="http://schemas.openxmlformats.org/officeDocument/2006/relationships/ctrlProp" Target="../ctrlProps/ctrlProp482.xml"/><Relationship Id="rId137" Type="http://schemas.openxmlformats.org/officeDocument/2006/relationships/ctrlProp" Target="../ctrlProps/ctrlProp135.xml"/><Relationship Id="rId344" Type="http://schemas.openxmlformats.org/officeDocument/2006/relationships/ctrlProp" Target="../ctrlProps/ctrlProp342.xml"/><Relationship Id="rId691" Type="http://schemas.openxmlformats.org/officeDocument/2006/relationships/ctrlProp" Target="../ctrlProps/ctrlProp689.xml"/><Relationship Id="rId789" Type="http://schemas.openxmlformats.org/officeDocument/2006/relationships/ctrlProp" Target="../ctrlProps/ctrlProp787.xml"/><Relationship Id="rId996" Type="http://schemas.openxmlformats.org/officeDocument/2006/relationships/ctrlProp" Target="../ctrlProps/ctrlProp994.xml"/><Relationship Id="rId551" Type="http://schemas.openxmlformats.org/officeDocument/2006/relationships/ctrlProp" Target="../ctrlProps/ctrlProp549.xml"/><Relationship Id="rId649" Type="http://schemas.openxmlformats.org/officeDocument/2006/relationships/ctrlProp" Target="../ctrlProps/ctrlProp647.xml"/><Relationship Id="rId856" Type="http://schemas.openxmlformats.org/officeDocument/2006/relationships/ctrlProp" Target="../ctrlProps/ctrlProp854.xml"/><Relationship Id="rId1181" Type="http://schemas.openxmlformats.org/officeDocument/2006/relationships/ctrlProp" Target="../ctrlProps/ctrlProp1179.xml"/><Relationship Id="rId1279" Type="http://schemas.openxmlformats.org/officeDocument/2006/relationships/ctrlProp" Target="../ctrlProps/ctrlProp1277.xml"/><Relationship Id="rId1486" Type="http://schemas.openxmlformats.org/officeDocument/2006/relationships/ctrlProp" Target="../ctrlProps/ctrlProp1484.xml"/><Relationship Id="rId204" Type="http://schemas.openxmlformats.org/officeDocument/2006/relationships/ctrlProp" Target="../ctrlProps/ctrlProp202.xml"/><Relationship Id="rId411" Type="http://schemas.openxmlformats.org/officeDocument/2006/relationships/ctrlProp" Target="../ctrlProps/ctrlProp409.xml"/><Relationship Id="rId509" Type="http://schemas.openxmlformats.org/officeDocument/2006/relationships/ctrlProp" Target="../ctrlProps/ctrlProp507.xml"/><Relationship Id="rId1041" Type="http://schemas.openxmlformats.org/officeDocument/2006/relationships/ctrlProp" Target="../ctrlProps/ctrlProp1039.xml"/><Relationship Id="rId1139" Type="http://schemas.openxmlformats.org/officeDocument/2006/relationships/ctrlProp" Target="../ctrlProps/ctrlProp1137.xml"/><Relationship Id="rId1346" Type="http://schemas.openxmlformats.org/officeDocument/2006/relationships/ctrlProp" Target="../ctrlProps/ctrlProp1344.xml"/><Relationship Id="rId716" Type="http://schemas.openxmlformats.org/officeDocument/2006/relationships/ctrlProp" Target="../ctrlProps/ctrlProp714.xml"/><Relationship Id="rId923" Type="http://schemas.openxmlformats.org/officeDocument/2006/relationships/ctrlProp" Target="../ctrlProps/ctrlProp921.xml"/><Relationship Id="rId52" Type="http://schemas.openxmlformats.org/officeDocument/2006/relationships/ctrlProp" Target="../ctrlProps/ctrlProp50.xml"/><Relationship Id="rId1206" Type="http://schemas.openxmlformats.org/officeDocument/2006/relationships/ctrlProp" Target="../ctrlProps/ctrlProp1204.xml"/><Relationship Id="rId1413" Type="http://schemas.openxmlformats.org/officeDocument/2006/relationships/ctrlProp" Target="../ctrlProps/ctrlProp1411.xml"/><Relationship Id="rId299" Type="http://schemas.openxmlformats.org/officeDocument/2006/relationships/ctrlProp" Target="../ctrlProps/ctrlProp297.xml"/><Relationship Id="rId159" Type="http://schemas.openxmlformats.org/officeDocument/2006/relationships/ctrlProp" Target="../ctrlProps/ctrlProp157.xml"/><Relationship Id="rId366" Type="http://schemas.openxmlformats.org/officeDocument/2006/relationships/ctrlProp" Target="../ctrlProps/ctrlProp364.xml"/><Relationship Id="rId573" Type="http://schemas.openxmlformats.org/officeDocument/2006/relationships/ctrlProp" Target="../ctrlProps/ctrlProp571.xml"/><Relationship Id="rId780" Type="http://schemas.openxmlformats.org/officeDocument/2006/relationships/ctrlProp" Target="../ctrlProps/ctrlProp778.xml"/><Relationship Id="rId226" Type="http://schemas.openxmlformats.org/officeDocument/2006/relationships/ctrlProp" Target="../ctrlProps/ctrlProp224.xml"/><Relationship Id="rId433" Type="http://schemas.openxmlformats.org/officeDocument/2006/relationships/ctrlProp" Target="../ctrlProps/ctrlProp431.xml"/><Relationship Id="rId878" Type="http://schemas.openxmlformats.org/officeDocument/2006/relationships/ctrlProp" Target="../ctrlProps/ctrlProp876.xml"/><Relationship Id="rId1063" Type="http://schemas.openxmlformats.org/officeDocument/2006/relationships/ctrlProp" Target="../ctrlProps/ctrlProp1061.xml"/><Relationship Id="rId1270" Type="http://schemas.openxmlformats.org/officeDocument/2006/relationships/ctrlProp" Target="../ctrlProps/ctrlProp1268.xml"/><Relationship Id="rId640" Type="http://schemas.openxmlformats.org/officeDocument/2006/relationships/ctrlProp" Target="../ctrlProps/ctrlProp638.xml"/><Relationship Id="rId738" Type="http://schemas.openxmlformats.org/officeDocument/2006/relationships/ctrlProp" Target="../ctrlProps/ctrlProp736.xml"/><Relationship Id="rId945" Type="http://schemas.openxmlformats.org/officeDocument/2006/relationships/ctrlProp" Target="../ctrlProps/ctrlProp943.xml"/><Relationship Id="rId1368" Type="http://schemas.openxmlformats.org/officeDocument/2006/relationships/ctrlProp" Target="../ctrlProps/ctrlProp136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120"/>
  <sheetViews>
    <sheetView showGridLines="0" tabSelected="1" zoomScale="85" zoomScaleNormal="85" workbookViewId="0">
      <selection activeCell="H14" sqref="H14"/>
    </sheetView>
  </sheetViews>
  <sheetFormatPr defaultRowHeight="14.25"/>
  <cols>
    <col min="2" max="2" width="28" customWidth="1"/>
    <col min="3" max="5" width="12" customWidth="1"/>
    <col min="6" max="6" width="15.125" bestFit="1" customWidth="1"/>
    <col min="7" max="7" width="25" customWidth="1"/>
    <col min="8" max="38" width="7.25" customWidth="1"/>
    <col min="39" max="40" width="12" customWidth="1"/>
    <col min="41" max="41" width="13.125" bestFit="1" customWidth="1"/>
    <col min="42" max="42" width="13.625" bestFit="1" customWidth="1"/>
    <col min="43" max="43" width="13.75" bestFit="1" customWidth="1"/>
    <col min="44" max="44" width="12" customWidth="1"/>
    <col min="52" max="52" width="3" customWidth="1"/>
    <col min="53" max="53" width="6.5" customWidth="1"/>
  </cols>
  <sheetData>
    <row r="1" spans="1:53" ht="20.100000000000001" customHeight="1">
      <c r="A1" s="3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22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3"/>
      <c r="AZ1" s="5" t="s">
        <v>0</v>
      </c>
      <c r="BA1" s="6"/>
    </row>
    <row r="2" spans="1:53" ht="32.1" customHeight="1">
      <c r="A2" s="3"/>
      <c r="B2" s="32" t="s">
        <v>118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5" t="s">
        <v>1</v>
      </c>
      <c r="BA2" s="6">
        <f>DAY(EOMONTH(DATE($E$5,MATCH($C$5,Lists!$A$2:$A$13,0),1),0))</f>
        <v>31</v>
      </c>
    </row>
    <row r="3" spans="1:53" ht="32.1" customHeight="1">
      <c r="A3" s="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5" t="s">
        <v>2</v>
      </c>
      <c r="BA3" s="6">
        <f>$B$8*$BA$2</f>
        <v>124</v>
      </c>
    </row>
    <row r="4" spans="1:53" ht="20.100000000000001" customHeight="1">
      <c r="A4" s="3"/>
      <c r="B4" s="38" t="s">
        <v>119</v>
      </c>
      <c r="C4" s="38"/>
      <c r="D4" s="38"/>
      <c r="E4" s="38"/>
      <c r="F4" s="3"/>
      <c r="G4" s="39" t="str" cm="1">
        <f t="array" aca="1" ref="G4" ca="1">"✨ "&amp;INDEX(Lists!$N$2:$N$8,MOD(DAY(TODAY()),7)+1)</f>
        <v>✨ Win the day, one checkbox at a time.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3" ht="20.100000000000001" customHeight="1">
      <c r="A5" s="3"/>
      <c r="B5" s="37" t="s">
        <v>3</v>
      </c>
      <c r="C5" s="37" t="s">
        <v>4</v>
      </c>
      <c r="D5" s="37" t="s">
        <v>5</v>
      </c>
      <c r="E5" s="37">
        <v>2026</v>
      </c>
      <c r="F5" s="3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3" ht="20.100000000000001" customHeight="1">
      <c r="A6" s="3"/>
      <c r="B6" s="3"/>
      <c r="C6" s="3"/>
      <c r="D6" s="3"/>
      <c r="E6" s="3"/>
      <c r="F6" s="3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3" ht="20.100000000000001" customHeight="1">
      <c r="A7" s="3"/>
      <c r="B7" s="8" t="s">
        <v>6</v>
      </c>
      <c r="C7" s="7"/>
      <c r="D7" s="7"/>
      <c r="E7" s="8" t="s">
        <v>7</v>
      </c>
      <c r="F7" s="7"/>
      <c r="G7" s="7"/>
      <c r="H7" s="8" t="s">
        <v>8</v>
      </c>
      <c r="I7" s="7"/>
      <c r="J7" s="7"/>
      <c r="K7" s="8" t="s">
        <v>9</v>
      </c>
      <c r="L7" s="7"/>
      <c r="M7" s="7"/>
      <c r="N7" s="8" t="s">
        <v>10</v>
      </c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25" t="s">
        <v>11</v>
      </c>
      <c r="AU7" s="25"/>
      <c r="AV7" s="25"/>
      <c r="AW7" s="25"/>
      <c r="AX7" s="25"/>
      <c r="AY7" s="3"/>
      <c r="AZ7" s="3"/>
    </row>
    <row r="8" spans="1:53" ht="20.100000000000001" customHeight="1">
      <c r="A8" s="3"/>
      <c r="B8" s="35">
        <f>COUNTA($B$20:$B$69)</f>
        <v>4</v>
      </c>
      <c r="C8" s="35"/>
      <c r="D8" s="7"/>
      <c r="E8" s="35">
        <f>SUM($AM$20:$AM$69)</f>
        <v>5</v>
      </c>
      <c r="F8" s="35"/>
      <c r="G8" s="35"/>
      <c r="H8" s="35">
        <f>MAX(0,$BA$3-E8)</f>
        <v>119</v>
      </c>
      <c r="I8" s="35"/>
      <c r="J8" s="7"/>
      <c r="K8" s="36">
        <f>IFERROR(E8/$BA$3,0)</f>
        <v>4.0322580645161289E-2</v>
      </c>
      <c r="L8" s="36"/>
      <c r="M8" s="36"/>
      <c r="N8" s="36">
        <f ca="1">IFERROR(SUM(INDEX(Task_Data!$AM$2:$BQ$51,0,MATCH(TODAY(),$H$16:$AL$16,0)))/$B$8,0)</f>
        <v>1</v>
      </c>
      <c r="O8" s="36"/>
      <c r="P8" s="36"/>
      <c r="Q8" s="7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4"/>
      <c r="AU8" s="4"/>
      <c r="AV8" s="4"/>
      <c r="AW8" s="4"/>
      <c r="AX8" s="4"/>
      <c r="AY8" s="3"/>
      <c r="AZ8" s="3"/>
    </row>
    <row r="9" spans="1:53" ht="20.100000000000001" customHeight="1">
      <c r="A9" s="3"/>
      <c r="B9" s="35"/>
      <c r="C9" s="35"/>
      <c r="D9" s="7"/>
      <c r="E9" s="35"/>
      <c r="F9" s="35"/>
      <c r="G9" s="35"/>
      <c r="H9" s="35"/>
      <c r="I9" s="35"/>
      <c r="J9" s="7"/>
      <c r="K9" s="36"/>
      <c r="L9" s="36"/>
      <c r="M9" s="36"/>
      <c r="N9" s="36"/>
      <c r="O9" s="36"/>
      <c r="P9" s="36"/>
      <c r="Q9" s="7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4" t="str" cm="1">
        <f t="array" aca="1" ref="AT9" ca="1">IFERROR(INDEX($B$20:$B$69,SMALL(IF(($B$20:$B$69&lt;&gt;"")*(IFERROR(INDEX(Task_Data!$AM$2:$BQ$51,0,MATCH(TODAY(),$H$16:$AL$16,0)),0)=0),ROW($B$20:$B$69)-ROW($B$20)+1),ROW(A1))),"")</f>
        <v/>
      </c>
      <c r="AU9" s="4"/>
      <c r="AV9" s="4"/>
      <c r="AW9" s="4"/>
      <c r="AX9" s="4"/>
      <c r="AY9" s="3"/>
      <c r="AZ9" s="3"/>
    </row>
    <row r="10" spans="1:53" ht="20.100000000000001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4" t="str" cm="1">
        <f t="array" aca="1" ref="AT10" ca="1">IFERROR(INDEX($B$20:$B$69,SMALL(IF(($B$20:$B$69&lt;&gt;"")*(IFERROR(INDEX(Task_Data!$AM$2:$BQ$51,0,MATCH(TODAY(),$H$16:$AL$16,0)),0)=0),ROW($B$20:$B$69)-ROW($B$20)+1),ROW(A2))),"")</f>
        <v/>
      </c>
      <c r="AU10" s="4"/>
      <c r="AV10" s="4"/>
      <c r="AW10" s="4"/>
      <c r="AX10" s="4"/>
      <c r="AY10" s="3"/>
      <c r="AZ10" s="3"/>
    </row>
    <row r="11" spans="1:53" ht="20.100000000000001" customHeight="1">
      <c r="A11" s="3"/>
      <c r="B11" s="8" t="s">
        <v>12</v>
      </c>
      <c r="C11" s="7"/>
      <c r="D11" s="7"/>
      <c r="E11" s="8" t="s">
        <v>13</v>
      </c>
      <c r="F11" s="7"/>
      <c r="G11" s="7"/>
      <c r="H11" s="8" t="s">
        <v>14</v>
      </c>
      <c r="I11" s="7"/>
      <c r="J11" s="7"/>
      <c r="K11" s="8" t="s">
        <v>15</v>
      </c>
      <c r="L11" s="7"/>
      <c r="M11" s="7"/>
      <c r="N11" s="8" t="s">
        <v>16</v>
      </c>
      <c r="O11" s="7"/>
      <c r="P11" s="7"/>
      <c r="Q11" s="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4" t="str" cm="1">
        <f t="array" aca="1" ref="AT11" ca="1">IFERROR(INDEX($B$20:$B$69,SMALL(IF(($B$20:$B$69&lt;&gt;"")*(IFERROR(INDEX(Task_Data!$AM$2:$BQ$51,0,MATCH(TODAY(),$H$16:$AL$16,0)),0)=0),ROW($B$20:$B$69)-ROW($B$20)+1),ROW(A3))),"")</f>
        <v/>
      </c>
      <c r="AU11" s="4"/>
      <c r="AV11" s="4"/>
      <c r="AW11" s="4"/>
      <c r="AX11" s="4"/>
      <c r="AY11" s="3"/>
      <c r="AZ11" s="3"/>
    </row>
    <row r="12" spans="1:53" ht="20.100000000000001" customHeight="1">
      <c r="A12" s="3"/>
      <c r="B12" s="35">
        <f>IFERROR(MAX($AP$20:$AP$69),0)</f>
        <v>2</v>
      </c>
      <c r="C12" s="35"/>
      <c r="D12" s="7"/>
      <c r="E12" s="35">
        <f>IFERROR(MAX($AQ$20:$AQ$69),0)</f>
        <v>2</v>
      </c>
      <c r="F12" s="35"/>
      <c r="G12" s="35"/>
      <c r="H12" s="35" t="str">
        <f>IFERROR(TEXT(INDEX(Task_Data!$CA$1:$DE$1,1,MATCH(MAX(Task_Data!$CA$3:$DE$3),Task_Data!$CA$3:$DE$3,0)),"dd-mmm")&amp;" ("&amp;TEXT(MAX(Task_Data!$CA$3:$DE$3),"0%")&amp;")","-")</f>
        <v>04-Jul (100%)</v>
      </c>
      <c r="I12" s="35"/>
      <c r="J12" s="35"/>
      <c r="K12" s="35" t="str">
        <f>IFERROR(TEXT(INDEX(Task_Data!$CA$1:$DE$1,1,MATCH(MIN(Task_Data!$CA$3:$DE$3),Task_Data!$CA$3:$DE$3,0)),"dd-mmm")&amp;" ("&amp;TEXT(MIN(Task_Data!$CA$3:$DE$3),"0%")&amp;")","-")</f>
        <v>01-Jul (0%)</v>
      </c>
      <c r="L12" s="35"/>
      <c r="M12" s="35"/>
      <c r="N12" s="35">
        <f>SUM($AN$20:$AN$69)</f>
        <v>61</v>
      </c>
      <c r="O12" s="35"/>
      <c r="P12" s="35"/>
      <c r="Q12" s="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4" t="str" cm="1">
        <f t="array" aca="1" ref="AT12" ca="1">IFERROR(INDEX($B$20:$B$69,SMALL(IF(($B$20:$B$69&lt;&gt;"")*(IFERROR(INDEX(Task_Data!$AM$2:$BQ$51,0,MATCH(TODAY(),$H$16:$AL$16,0)),0)=0),ROW($B$20:$B$69)-ROW($B$20)+1),ROW(A4))),"")</f>
        <v/>
      </c>
      <c r="AU12" s="4"/>
      <c r="AV12" s="4"/>
      <c r="AW12" s="4"/>
      <c r="AX12" s="4"/>
      <c r="AY12" s="3"/>
      <c r="AZ12" s="3"/>
    </row>
    <row r="13" spans="1:53" ht="20.100000000000001" customHeight="1">
      <c r="A13" s="3"/>
      <c r="B13" s="35"/>
      <c r="C13" s="35"/>
      <c r="D13" s="7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4" t="str" cm="1">
        <f t="array" aca="1" ref="AT13" ca="1">IFERROR(INDEX($B$20:$B$69,SMALL(IF(($B$20:$B$69&lt;&gt;"")*(IFERROR(INDEX(Task_Data!$AM$2:$BQ$51,0,MATCH(TODAY(),$H$16:$AL$16,0)),0)=0),ROW($B$20:$B$69)-ROW($B$20)+1),ROW(A5))),"")</f>
        <v/>
      </c>
      <c r="AU13" s="4"/>
      <c r="AV13" s="4"/>
      <c r="AW13" s="4"/>
      <c r="AX13" s="4"/>
      <c r="AY13" s="3"/>
      <c r="AZ13" s="3"/>
    </row>
    <row r="14" spans="1:53" ht="20.100000000000001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4" t="str" cm="1">
        <f t="array" aca="1" ref="AT14" ca="1">IFERROR(INDEX($B$20:$B$69,SMALL(IF(($B$20:$B$69&lt;&gt;"")*(IFERROR(INDEX(Task_Data!$AM$2:$BQ$51,0,MATCH(TODAY(),$H$16:$AL$16,0)),0)=0),ROW($B$20:$B$69)-ROW($B$20)+1),ROW(A6))),"")</f>
        <v/>
      </c>
      <c r="AU14" s="4"/>
      <c r="AV14" s="4"/>
      <c r="AW14" s="4"/>
      <c r="AX14" s="4"/>
      <c r="AY14" s="3"/>
      <c r="AZ14" s="3"/>
    </row>
    <row r="15" spans="1:53" ht="20.100000000000001" customHeight="1">
      <c r="A15" s="3"/>
      <c r="B15" s="17" t="s">
        <v>17</v>
      </c>
      <c r="C15" s="17" t="s">
        <v>18</v>
      </c>
      <c r="D15" s="17" t="s">
        <v>20</v>
      </c>
      <c r="E15" s="17" t="s">
        <v>21</v>
      </c>
      <c r="F15" s="17" t="s">
        <v>19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4" t="str" cm="1">
        <f t="array" aca="1" ref="AT15" ca="1">IFERROR(INDEX($B$20:$B$69,SMALL(IF(($B$20:$B$69&lt;&gt;"")*(IFERROR(INDEX(Task_Data!$AM$2:$BQ$51,0,MATCH(TODAY(),$H$16:$AL$16,0)),0)=0),ROW($B$20:$B$69)-ROW($B$20)+1),ROW(A7))),"")</f>
        <v/>
      </c>
      <c r="AU15" s="4"/>
      <c r="AV15" s="4"/>
      <c r="AW15" s="4"/>
      <c r="AX15" s="4"/>
      <c r="AY15" s="3"/>
      <c r="AZ15" s="3"/>
    </row>
    <row r="16" spans="1:53" ht="21.75" customHeight="1">
      <c r="A16" s="3"/>
      <c r="B16" s="23">
        <f>IFERROR($E$8/$BA$2,0)</f>
        <v>0.16129032258064516</v>
      </c>
      <c r="C16" s="24">
        <f>IFERROR(AVERAGEIF($B$20:$B$69,"&lt;&gt;",$AO$20:$AO$69),0)</f>
        <v>4.0322580645161289E-2</v>
      </c>
      <c r="D16" s="18">
        <f>COUNTIFS($B$20:$B$69,"&lt;&gt;",$AM$20:$AM$69,0)</f>
        <v>0</v>
      </c>
      <c r="E16" s="18">
        <f>COUNTIFS($B$20:$B$69,"&lt;&gt;",$AO$20:$AO$69,1)</f>
        <v>0</v>
      </c>
      <c r="F16" s="18" t="str">
        <f>IFERROR(INDEX($B$20:$B$69,MATCH(MAX($AO$20:$AO$69),$AO$20:$AO$69,0)),"-")</f>
        <v>Study</v>
      </c>
      <c r="H16" s="9">
        <f>IF(1&gt;$BA$2,"",DATE($E$5,MATCH($C$5,Lists!$A$2:$A$13,0),1))</f>
        <v>46204</v>
      </c>
      <c r="I16" s="9">
        <f>IF(2&gt;$BA$2,"",DATE($E$5,MATCH($C$5,Lists!$A$2:$A$13,0),2))</f>
        <v>46205</v>
      </c>
      <c r="J16" s="9">
        <f>IF(3&gt;$BA$2,"",DATE($E$5,MATCH($C$5,Lists!$A$2:$A$13,0),3))</f>
        <v>46206</v>
      </c>
      <c r="K16" s="9">
        <f>IF(4&gt;$BA$2,"",DATE($E$5,MATCH($C$5,Lists!$A$2:$A$13,0),4))</f>
        <v>46207</v>
      </c>
      <c r="L16" s="9">
        <f>IF(5&gt;$BA$2,"",DATE($E$5,MATCH($C$5,Lists!$A$2:$A$13,0),5))</f>
        <v>46208</v>
      </c>
      <c r="M16" s="9">
        <f>IF(6&gt;$BA$2,"",DATE($E$5,MATCH($C$5,Lists!$A$2:$A$13,0),6))</f>
        <v>46209</v>
      </c>
      <c r="N16" s="9">
        <f>IF(7&gt;$BA$2,"",DATE($E$5,MATCH($C$5,Lists!$A$2:$A$13,0),7))</f>
        <v>46210</v>
      </c>
      <c r="O16" s="9">
        <f>IF(8&gt;$BA$2,"",DATE($E$5,MATCH($C$5,Lists!$A$2:$A$13,0),8))</f>
        <v>46211</v>
      </c>
      <c r="P16" s="9">
        <f>IF(9&gt;$BA$2,"",DATE($E$5,MATCH($C$5,Lists!$A$2:$A$13,0),9))</f>
        <v>46212</v>
      </c>
      <c r="Q16" s="9">
        <f>IF(10&gt;$BA$2,"",DATE($E$5,MATCH($C$5,Lists!$A$2:$A$13,0),10))</f>
        <v>46213</v>
      </c>
      <c r="R16" s="5">
        <f>IF(11&gt;$BA$2,"",DATE($E$5,MATCH($C$5,Lists!$A$2:$A$13,0),11))</f>
        <v>46214</v>
      </c>
      <c r="S16" s="5">
        <f>IF(12&gt;$BA$2,"",DATE($E$5,MATCH($C$5,Lists!$A$2:$A$13,0),12))</f>
        <v>46215</v>
      </c>
      <c r="T16" s="5">
        <f>IF(13&gt;$BA$2,"",DATE($E$5,MATCH($C$5,Lists!$A$2:$A$13,0),13))</f>
        <v>46216</v>
      </c>
      <c r="U16" s="5">
        <f>IF(14&gt;$BA$2,"",DATE($E$5,MATCH($C$5,Lists!$A$2:$A$13,0),14))</f>
        <v>46217</v>
      </c>
      <c r="V16" s="5">
        <f>IF(15&gt;$BA$2,"",DATE($E$5,MATCH($C$5,Lists!$A$2:$A$13,0),15))</f>
        <v>46218</v>
      </c>
      <c r="W16" s="5">
        <f>IF(16&gt;$BA$2,"",DATE($E$5,MATCH($C$5,Lists!$A$2:$A$13,0),16))</f>
        <v>46219</v>
      </c>
      <c r="X16" s="5">
        <f>IF(17&gt;$BA$2,"",DATE($E$5,MATCH($C$5,Lists!$A$2:$A$13,0),17))</f>
        <v>46220</v>
      </c>
      <c r="Y16" s="5">
        <f>IF(18&gt;$BA$2,"",DATE($E$5,MATCH($C$5,Lists!$A$2:$A$13,0),18))</f>
        <v>46221</v>
      </c>
      <c r="Z16" s="5">
        <f>IF(19&gt;$BA$2,"",DATE($E$5,MATCH($C$5,Lists!$A$2:$A$13,0),19))</f>
        <v>46222</v>
      </c>
      <c r="AA16" s="5">
        <f>IF(20&gt;$BA$2,"",DATE($E$5,MATCH($C$5,Lists!$A$2:$A$13,0),20))</f>
        <v>46223</v>
      </c>
      <c r="AB16" s="5">
        <f>IF(21&gt;$BA$2,"",DATE($E$5,MATCH($C$5,Lists!$A$2:$A$13,0),21))</f>
        <v>46224</v>
      </c>
      <c r="AC16" s="5">
        <f>IF(22&gt;$BA$2,"",DATE($E$5,MATCH($C$5,Lists!$A$2:$A$13,0),22))</f>
        <v>46225</v>
      </c>
      <c r="AD16" s="5">
        <f>IF(23&gt;$BA$2,"",DATE($E$5,MATCH($C$5,Lists!$A$2:$A$13,0),23))</f>
        <v>46226</v>
      </c>
      <c r="AE16" s="5">
        <f>IF(24&gt;$BA$2,"",DATE($E$5,MATCH($C$5,Lists!$A$2:$A$13,0),24))</f>
        <v>46227</v>
      </c>
      <c r="AF16" s="5">
        <f>IF(25&gt;$BA$2,"",DATE($E$5,MATCH($C$5,Lists!$A$2:$A$13,0),25))</f>
        <v>46228</v>
      </c>
      <c r="AG16" s="5">
        <f>IF(26&gt;$BA$2,"",DATE($E$5,MATCH($C$5,Lists!$A$2:$A$13,0),26))</f>
        <v>46229</v>
      </c>
      <c r="AH16" s="5">
        <f>IF(27&gt;$BA$2,"",DATE($E$5,MATCH($C$5,Lists!$A$2:$A$13,0),27))</f>
        <v>46230</v>
      </c>
      <c r="AI16" s="5">
        <f>IF(28&gt;$BA$2,"",DATE($E$5,MATCH($C$5,Lists!$A$2:$A$13,0),28))</f>
        <v>46231</v>
      </c>
      <c r="AJ16" s="5">
        <f>IF(29&gt;$BA$2,"",DATE($E$5,MATCH($C$5,Lists!$A$2:$A$13,0),29))</f>
        <v>46232</v>
      </c>
      <c r="AK16" s="5">
        <f>IF(30&gt;$BA$2,"",DATE($E$5,MATCH($C$5,Lists!$A$2:$A$13,0),30))</f>
        <v>46233</v>
      </c>
      <c r="AL16" s="5">
        <f>IF(31&gt;$BA$2,"",DATE($E$5,MATCH($C$5,Lists!$A$2:$A$13,0),31))</f>
        <v>46234</v>
      </c>
      <c r="AM16" s="3"/>
      <c r="AN16" s="3"/>
      <c r="AO16" s="3"/>
      <c r="AP16" s="3"/>
      <c r="AQ16" s="3"/>
      <c r="AR16" s="3"/>
      <c r="AS16" s="3"/>
      <c r="AT16" s="4" t="str" cm="1">
        <f t="array" aca="1" ref="AT16" ca="1">IFERROR(INDEX($B$20:$B$69,SMALL(IF(($B$20:$B$69&lt;&gt;"")*(IFERROR(INDEX(Task_Data!$AM$2:$BQ$51,0,MATCH(TODAY(),$H$16:$AL$16,0)),0)=0),ROW($B$20:$B$69)-ROW($B$20)+1),ROW(A8))),"")</f>
        <v/>
      </c>
      <c r="AU16" s="4"/>
      <c r="AV16" s="4"/>
      <c r="AW16" s="4"/>
      <c r="AX16" s="4"/>
      <c r="AY16" s="3"/>
      <c r="AZ16" s="3"/>
    </row>
    <row r="17" spans="1:52" ht="20.100000000000001" customHeight="1">
      <c r="A17" s="3"/>
      <c r="B17" s="3"/>
      <c r="C17" s="3"/>
      <c r="D17" s="3"/>
      <c r="E17" s="3"/>
      <c r="F17" s="3"/>
      <c r="G17" s="3"/>
      <c r="H17" s="20">
        <f t="shared" ref="H17:AL17" si="0">IF(H$16="","",DAY(H$16))</f>
        <v>1</v>
      </c>
      <c r="I17" s="20">
        <f t="shared" si="0"/>
        <v>2</v>
      </c>
      <c r="J17" s="20">
        <f t="shared" si="0"/>
        <v>3</v>
      </c>
      <c r="K17" s="20">
        <f t="shared" si="0"/>
        <v>4</v>
      </c>
      <c r="L17" s="20">
        <f t="shared" si="0"/>
        <v>5</v>
      </c>
      <c r="M17" s="20">
        <f t="shared" si="0"/>
        <v>6</v>
      </c>
      <c r="N17" s="20">
        <f t="shared" si="0"/>
        <v>7</v>
      </c>
      <c r="O17" s="20">
        <f t="shared" si="0"/>
        <v>8</v>
      </c>
      <c r="P17" s="20">
        <f t="shared" si="0"/>
        <v>9</v>
      </c>
      <c r="Q17" s="20">
        <f t="shared" si="0"/>
        <v>10</v>
      </c>
      <c r="R17" s="20">
        <f t="shared" si="0"/>
        <v>11</v>
      </c>
      <c r="S17" s="20">
        <f t="shared" si="0"/>
        <v>12</v>
      </c>
      <c r="T17" s="20">
        <f t="shared" si="0"/>
        <v>13</v>
      </c>
      <c r="U17" s="20">
        <f t="shared" si="0"/>
        <v>14</v>
      </c>
      <c r="V17" s="20">
        <f t="shared" si="0"/>
        <v>15</v>
      </c>
      <c r="W17" s="20">
        <f t="shared" si="0"/>
        <v>16</v>
      </c>
      <c r="X17" s="20">
        <f t="shared" si="0"/>
        <v>17</v>
      </c>
      <c r="Y17" s="20">
        <f t="shared" si="0"/>
        <v>18</v>
      </c>
      <c r="Z17" s="20">
        <f t="shared" si="0"/>
        <v>19</v>
      </c>
      <c r="AA17" s="20">
        <f t="shared" si="0"/>
        <v>20</v>
      </c>
      <c r="AB17" s="20">
        <f t="shared" si="0"/>
        <v>21</v>
      </c>
      <c r="AC17" s="20">
        <f t="shared" si="0"/>
        <v>22</v>
      </c>
      <c r="AD17" s="20">
        <f t="shared" si="0"/>
        <v>23</v>
      </c>
      <c r="AE17" s="20">
        <f t="shared" si="0"/>
        <v>24</v>
      </c>
      <c r="AF17" s="20">
        <f t="shared" si="0"/>
        <v>25</v>
      </c>
      <c r="AG17" s="20">
        <f t="shared" si="0"/>
        <v>26</v>
      </c>
      <c r="AH17" s="20">
        <f t="shared" si="0"/>
        <v>27</v>
      </c>
      <c r="AI17" s="20">
        <f t="shared" si="0"/>
        <v>28</v>
      </c>
      <c r="AJ17" s="20">
        <f t="shared" si="0"/>
        <v>29</v>
      </c>
      <c r="AK17" s="20">
        <f t="shared" si="0"/>
        <v>30</v>
      </c>
      <c r="AL17" s="20">
        <f t="shared" si="0"/>
        <v>31</v>
      </c>
      <c r="AM17" s="3"/>
      <c r="AN17" s="3"/>
      <c r="AO17" s="3"/>
      <c r="AP17" s="3"/>
      <c r="AQ17" s="3"/>
      <c r="AR17" s="3"/>
      <c r="AS17" s="3"/>
      <c r="AT17" s="4" t="str" cm="1">
        <f t="array" aca="1" ref="AT17" ca="1">IFERROR(INDEX($B$20:$B$69,SMALL(IF(($B$20:$B$69&lt;&gt;"")*(IFERROR(INDEX(Task_Data!$AM$2:$BQ$51,0,MATCH(TODAY(),$H$16:$AL$16,0)),0)=0),ROW($B$20:$B$69)-ROW($B$20)+1),ROW(A9))),"")</f>
        <v/>
      </c>
      <c r="AU17" s="4"/>
      <c r="AV17" s="4"/>
      <c r="AW17" s="4"/>
      <c r="AX17" s="4"/>
      <c r="AY17" s="3"/>
      <c r="AZ17" s="3"/>
    </row>
    <row r="18" spans="1:52" ht="20.100000000000001" customHeight="1">
      <c r="A18" s="3"/>
      <c r="B18" s="3"/>
      <c r="C18" s="3"/>
      <c r="D18" s="3"/>
      <c r="E18" s="3"/>
      <c r="F18" s="3"/>
      <c r="G18" s="3"/>
      <c r="H18" s="20" t="str">
        <f>IF(H$16="","",CHOOSE(WEEKDAY(H$16),"S","M","T","W","T","F","S"))</f>
        <v>W</v>
      </c>
      <c r="I18" s="20" t="str">
        <f>IF(I$16="","",CHOOSE(WEEKDAY(I$16),"S","M","T","W","T","F","S"))</f>
        <v>T</v>
      </c>
      <c r="J18" s="20" t="str">
        <f t="shared" ref="J18:AL18" si="1">IF(J$16="","",CHOOSE(WEEKDAY(J$16),"S","M","T","W","T","F","S"))</f>
        <v>F</v>
      </c>
      <c r="K18" s="20" t="str">
        <f t="shared" si="1"/>
        <v>S</v>
      </c>
      <c r="L18" s="20" t="str">
        <f t="shared" si="1"/>
        <v>S</v>
      </c>
      <c r="M18" s="20" t="str">
        <f t="shared" si="1"/>
        <v>M</v>
      </c>
      <c r="N18" s="20" t="str">
        <f t="shared" si="1"/>
        <v>T</v>
      </c>
      <c r="O18" s="20" t="str">
        <f t="shared" si="1"/>
        <v>W</v>
      </c>
      <c r="P18" s="20" t="str">
        <f t="shared" si="1"/>
        <v>T</v>
      </c>
      <c r="Q18" s="20" t="str">
        <f t="shared" si="1"/>
        <v>F</v>
      </c>
      <c r="R18" s="20" t="str">
        <f t="shared" si="1"/>
        <v>S</v>
      </c>
      <c r="S18" s="20" t="str">
        <f t="shared" si="1"/>
        <v>S</v>
      </c>
      <c r="T18" s="20" t="str">
        <f t="shared" si="1"/>
        <v>M</v>
      </c>
      <c r="U18" s="20" t="str">
        <f t="shared" si="1"/>
        <v>T</v>
      </c>
      <c r="V18" s="20" t="str">
        <f t="shared" si="1"/>
        <v>W</v>
      </c>
      <c r="W18" s="20" t="str">
        <f t="shared" si="1"/>
        <v>T</v>
      </c>
      <c r="X18" s="20" t="str">
        <f t="shared" si="1"/>
        <v>F</v>
      </c>
      <c r="Y18" s="20" t="str">
        <f t="shared" si="1"/>
        <v>S</v>
      </c>
      <c r="Z18" s="20" t="str">
        <f t="shared" si="1"/>
        <v>S</v>
      </c>
      <c r="AA18" s="20" t="str">
        <f t="shared" si="1"/>
        <v>M</v>
      </c>
      <c r="AB18" s="20" t="str">
        <f t="shared" si="1"/>
        <v>T</v>
      </c>
      <c r="AC18" s="20" t="str">
        <f t="shared" si="1"/>
        <v>W</v>
      </c>
      <c r="AD18" s="20" t="str">
        <f t="shared" si="1"/>
        <v>T</v>
      </c>
      <c r="AE18" s="20" t="str">
        <f t="shared" si="1"/>
        <v>F</v>
      </c>
      <c r="AF18" s="20" t="str">
        <f t="shared" si="1"/>
        <v>S</v>
      </c>
      <c r="AG18" s="20" t="str">
        <f t="shared" si="1"/>
        <v>S</v>
      </c>
      <c r="AH18" s="20" t="str">
        <f t="shared" si="1"/>
        <v>M</v>
      </c>
      <c r="AI18" s="20" t="str">
        <f t="shared" si="1"/>
        <v>T</v>
      </c>
      <c r="AJ18" s="20" t="str">
        <f t="shared" si="1"/>
        <v>W</v>
      </c>
      <c r="AK18" s="20" t="str">
        <f t="shared" si="1"/>
        <v>T</v>
      </c>
      <c r="AL18" s="20" t="str">
        <f t="shared" si="1"/>
        <v>F</v>
      </c>
      <c r="AM18" s="3"/>
      <c r="AN18" s="3"/>
      <c r="AO18" s="3"/>
      <c r="AP18" s="3"/>
      <c r="AQ18" s="3"/>
      <c r="AR18" s="3"/>
      <c r="AS18" s="3"/>
      <c r="AT18" s="4" t="str" cm="1">
        <f t="array" aca="1" ref="AT18" ca="1">IFERROR(INDEX($B$20:$B$69,SMALL(IF(($B$20:$B$69&lt;&gt;"")*(IFERROR(INDEX(Task_Data!$AM$2:$BQ$51,0,MATCH(TODAY(),$H$16:$AL$16,0)),0)=0),ROW($B$20:$B$69)-ROW($B$20)+1),ROW(A10))),"")</f>
        <v/>
      </c>
      <c r="AU18" s="4"/>
      <c r="AV18" s="4"/>
      <c r="AW18" s="4"/>
      <c r="AX18" s="4"/>
      <c r="AY18" s="3"/>
      <c r="AZ18" s="3"/>
    </row>
    <row r="19" spans="1:52" ht="20.100000000000001" customHeight="1">
      <c r="A19" s="3"/>
      <c r="B19" s="10" t="s">
        <v>22</v>
      </c>
      <c r="C19" s="10" t="s">
        <v>23</v>
      </c>
      <c r="D19" s="10" t="s">
        <v>24</v>
      </c>
      <c r="E19" s="10" t="s">
        <v>25</v>
      </c>
      <c r="F19" s="10" t="s">
        <v>26</v>
      </c>
      <c r="G19" s="10" t="s">
        <v>27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 t="s">
        <v>28</v>
      </c>
      <c r="AN19" s="10" t="s">
        <v>29</v>
      </c>
      <c r="AO19" s="10" t="s">
        <v>30</v>
      </c>
      <c r="AP19" s="10" t="s">
        <v>31</v>
      </c>
      <c r="AQ19" s="10" t="s">
        <v>32</v>
      </c>
      <c r="AR19" s="10" t="s">
        <v>33</v>
      </c>
      <c r="AS19" s="3"/>
      <c r="AT19" s="4" t="str" cm="1">
        <f t="array" aca="1" ref="AT19" ca="1">IFERROR(INDEX($B$20:$B$69,SMALL(IF(($B$20:$B$69&lt;&gt;"")*(IFERROR(INDEX(Task_Data!$AM$2:$BQ$51,0,MATCH(TODAY(),$H$16:$AL$16,0)),0)=0),ROW($B$20:$B$69)-ROW($B$20)+1),ROW(A11))),"")</f>
        <v/>
      </c>
      <c r="AU19" s="4"/>
      <c r="AV19" s="4"/>
      <c r="AW19" s="4"/>
      <c r="AX19" s="4"/>
      <c r="AY19" s="3"/>
      <c r="AZ19" s="3"/>
    </row>
    <row r="20" spans="1:52" ht="24" customHeight="1">
      <c r="A20" s="3"/>
      <c r="B20" s="11" t="s">
        <v>34</v>
      </c>
      <c r="C20" s="19" t="s">
        <v>35</v>
      </c>
      <c r="D20" s="19" t="s">
        <v>36</v>
      </c>
      <c r="E20" s="19" t="s">
        <v>46</v>
      </c>
      <c r="F20" s="19">
        <v>25</v>
      </c>
      <c r="G20" s="11" t="s">
        <v>38</v>
      </c>
      <c r="H20" s="16" t="b">
        <v>0</v>
      </c>
      <c r="I20" s="16" t="b">
        <v>0</v>
      </c>
      <c r="J20" s="16" t="b">
        <v>0</v>
      </c>
      <c r="K20" s="16" t="b">
        <v>0</v>
      </c>
      <c r="L20" s="16" t="b">
        <v>0</v>
      </c>
      <c r="M20" s="16" t="b">
        <v>0</v>
      </c>
      <c r="N20" s="16" t="b">
        <v>0</v>
      </c>
      <c r="O20" s="16" t="b">
        <v>0</v>
      </c>
      <c r="P20" s="16" t="b">
        <v>0</v>
      </c>
      <c r="Q20" s="16" t="b">
        <v>0</v>
      </c>
      <c r="R20" s="16" t="b">
        <v>0</v>
      </c>
      <c r="S20" s="16" t="b">
        <v>0</v>
      </c>
      <c r="T20" s="16" t="b">
        <v>0</v>
      </c>
      <c r="U20" s="16" t="b">
        <v>0</v>
      </c>
      <c r="V20" s="16" t="b">
        <v>0</v>
      </c>
      <c r="W20" s="16" t="b">
        <v>0</v>
      </c>
      <c r="X20" s="16" t="b">
        <v>0</v>
      </c>
      <c r="Y20" s="16" t="b">
        <v>0</v>
      </c>
      <c r="Z20" s="16" t="b">
        <v>0</v>
      </c>
      <c r="AA20" s="16" t="b">
        <v>0</v>
      </c>
      <c r="AB20" s="16" t="b">
        <v>0</v>
      </c>
      <c r="AC20" s="16" t="b">
        <v>0</v>
      </c>
      <c r="AD20" s="16" t="b">
        <v>0</v>
      </c>
      <c r="AE20" s="16" t="b">
        <v>0</v>
      </c>
      <c r="AF20" s="16" t="b">
        <v>0</v>
      </c>
      <c r="AG20" s="16" t="b">
        <v>0</v>
      </c>
      <c r="AH20" s="16" t="b">
        <v>0</v>
      </c>
      <c r="AI20" s="16" t="b">
        <v>0</v>
      </c>
      <c r="AJ20" s="16" t="b">
        <v>0</v>
      </c>
      <c r="AK20" s="16" t="b">
        <v>0</v>
      </c>
      <c r="AL20" s="16" t="b">
        <v>0</v>
      </c>
      <c r="AM20" s="7">
        <f>IF($B20="","",SUM(Task_Data!AM2:BQ2))</f>
        <v>1</v>
      </c>
      <c r="AN20" s="7">
        <f t="shared" ref="AN20:AN51" si="2">IF($B20="","",MAX(0,$F20-AM20))</f>
        <v>24</v>
      </c>
      <c r="AO20" s="12">
        <f t="shared" ref="AO20:AO51" si="3">IF($B20="","",IFERROR(AM20/$BA$2,0))</f>
        <v>3.2258064516129031E-2</v>
      </c>
      <c r="AP20" s="7">
        <f>IF($B20="","",MIN(AQ20,COUNTIF(Task_Data!AM2:BQ2,1)))</f>
        <v>1</v>
      </c>
      <c r="AQ20" s="7">
        <f>IF($B20="","",Task_Data!BT2)</f>
        <v>1</v>
      </c>
      <c r="AR20" s="7" cm="1">
        <f t="array" ref="AR20">IF($B20="","",ROUND(AO20*60+_xlfn.SWITCH($C20,"High",25,"Medium",18,"Low",12,0)+IFERROR(AQ20/$BA$2,0)*15,1))</f>
        <v>27.4</v>
      </c>
      <c r="AS20" s="3"/>
      <c r="AT20" s="4"/>
      <c r="AU20" s="4"/>
      <c r="AV20" s="4"/>
      <c r="AW20" s="4"/>
      <c r="AX20" s="4"/>
      <c r="AY20" s="3"/>
      <c r="AZ20" s="3"/>
    </row>
    <row r="21" spans="1:52" ht="24" customHeight="1">
      <c r="A21" s="3"/>
      <c r="B21" s="11" t="s">
        <v>39</v>
      </c>
      <c r="C21" s="19" t="s">
        <v>35</v>
      </c>
      <c r="D21" s="19" t="s">
        <v>39</v>
      </c>
      <c r="E21" s="19" t="s">
        <v>37</v>
      </c>
      <c r="F21" s="19">
        <v>20</v>
      </c>
      <c r="G21" s="11" t="s">
        <v>40</v>
      </c>
      <c r="H21" s="16" t="b">
        <v>0</v>
      </c>
      <c r="I21" s="16" t="b">
        <v>0</v>
      </c>
      <c r="J21" s="16" t="b">
        <v>0</v>
      </c>
      <c r="K21" s="16" t="b">
        <v>0</v>
      </c>
      <c r="L21" s="16" t="b">
        <v>0</v>
      </c>
      <c r="M21" s="16" t="b">
        <v>0</v>
      </c>
      <c r="N21" s="16" t="b">
        <v>0</v>
      </c>
      <c r="O21" s="16" t="b">
        <v>0</v>
      </c>
      <c r="P21" s="16" t="b">
        <v>0</v>
      </c>
      <c r="Q21" s="16" t="b">
        <v>0</v>
      </c>
      <c r="R21" s="16" t="b">
        <v>0</v>
      </c>
      <c r="S21" s="16" t="b">
        <v>0</v>
      </c>
      <c r="T21" s="16" t="b">
        <v>0</v>
      </c>
      <c r="U21" s="16" t="b">
        <v>0</v>
      </c>
      <c r="V21" s="16" t="b">
        <v>0</v>
      </c>
      <c r="W21" s="16" t="b">
        <v>0</v>
      </c>
      <c r="X21" s="16" t="b">
        <v>0</v>
      </c>
      <c r="Y21" s="16" t="b">
        <v>0</v>
      </c>
      <c r="Z21" s="16" t="b">
        <v>0</v>
      </c>
      <c r="AA21" s="16" t="b">
        <v>0</v>
      </c>
      <c r="AB21" s="16" t="b">
        <v>0</v>
      </c>
      <c r="AC21" s="16" t="b">
        <v>0</v>
      </c>
      <c r="AD21" s="16" t="b">
        <v>0</v>
      </c>
      <c r="AE21" s="16" t="b">
        <v>0</v>
      </c>
      <c r="AF21" s="16" t="b">
        <v>0</v>
      </c>
      <c r="AG21" s="16" t="b">
        <v>0</v>
      </c>
      <c r="AH21" s="16" t="b">
        <v>0</v>
      </c>
      <c r="AI21" s="16" t="b">
        <v>0</v>
      </c>
      <c r="AJ21" s="16" t="b">
        <v>0</v>
      </c>
      <c r="AK21" s="16" t="b">
        <v>0</v>
      </c>
      <c r="AL21" s="16" t="b">
        <v>0</v>
      </c>
      <c r="AM21" s="7">
        <f>IF($B21="","",SUM(Task_Data!AM3:BQ3))</f>
        <v>2</v>
      </c>
      <c r="AN21" s="7">
        <f t="shared" si="2"/>
        <v>18</v>
      </c>
      <c r="AO21" s="12">
        <f t="shared" si="3"/>
        <v>6.4516129032258063E-2</v>
      </c>
      <c r="AP21" s="7">
        <f>IF($B21="","",MIN(AQ21,COUNTIF(Task_Data!AM3:BQ3,1)))</f>
        <v>2</v>
      </c>
      <c r="AQ21" s="7">
        <f>IF($B21="","",Task_Data!BT3)</f>
        <v>2</v>
      </c>
      <c r="AR21" s="7" cm="1">
        <f t="array" ref="AR21">IF($B21="","",ROUND(AO21*60+_xlfn.SWITCH($C21,"High",25,"Medium",18,"Low",12,0)+IFERROR(AQ21/$BA$2,0)*15,1))</f>
        <v>29.8</v>
      </c>
      <c r="AS21" s="3"/>
      <c r="AT21" s="3"/>
      <c r="AU21" s="3"/>
      <c r="AV21" s="3"/>
      <c r="AW21" s="3"/>
      <c r="AX21" s="3"/>
      <c r="AY21" s="3"/>
      <c r="AZ21" s="3"/>
    </row>
    <row r="22" spans="1:52" ht="24" customHeight="1">
      <c r="A22" s="3"/>
      <c r="B22" s="11" t="s">
        <v>41</v>
      </c>
      <c r="C22" s="19" t="s">
        <v>42</v>
      </c>
      <c r="D22" s="19" t="s">
        <v>43</v>
      </c>
      <c r="E22" s="19" t="s">
        <v>37</v>
      </c>
      <c r="F22" s="19">
        <v>15</v>
      </c>
      <c r="G22" s="11" t="s">
        <v>44</v>
      </c>
      <c r="H22" s="16" t="b">
        <v>0</v>
      </c>
      <c r="I22" s="16" t="b">
        <v>0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0</v>
      </c>
      <c r="P22" s="16" t="b">
        <v>0</v>
      </c>
      <c r="Q22" s="16" t="b">
        <v>0</v>
      </c>
      <c r="R22" s="16" t="b">
        <v>0</v>
      </c>
      <c r="S22" s="16" t="b">
        <v>0</v>
      </c>
      <c r="T22" s="16" t="b">
        <v>0</v>
      </c>
      <c r="U22" s="16" t="b">
        <v>0</v>
      </c>
      <c r="V22" s="16" t="b">
        <v>0</v>
      </c>
      <c r="W22" s="16" t="b">
        <v>0</v>
      </c>
      <c r="X22" s="16" t="b">
        <v>0</v>
      </c>
      <c r="Y22" s="16" t="b">
        <v>0</v>
      </c>
      <c r="Z22" s="16" t="b">
        <v>0</v>
      </c>
      <c r="AA22" s="16" t="b">
        <v>0</v>
      </c>
      <c r="AB22" s="16" t="b">
        <v>0</v>
      </c>
      <c r="AC22" s="16" t="b">
        <v>0</v>
      </c>
      <c r="AD22" s="16" t="b">
        <v>0</v>
      </c>
      <c r="AE22" s="16" t="b">
        <v>0</v>
      </c>
      <c r="AF22" s="16" t="b">
        <v>0</v>
      </c>
      <c r="AG22" s="16" t="b">
        <v>0</v>
      </c>
      <c r="AH22" s="16" t="b">
        <v>0</v>
      </c>
      <c r="AI22" s="16" t="b">
        <v>0</v>
      </c>
      <c r="AJ22" s="16" t="b">
        <v>0</v>
      </c>
      <c r="AK22" s="16" t="b">
        <v>0</v>
      </c>
      <c r="AL22" s="16" t="b">
        <v>0</v>
      </c>
      <c r="AM22" s="7">
        <f>IF($B22="","",SUM(Task_Data!AM4:BQ4))</f>
        <v>1</v>
      </c>
      <c r="AN22" s="7">
        <f t="shared" si="2"/>
        <v>14</v>
      </c>
      <c r="AO22" s="12">
        <f t="shared" si="3"/>
        <v>3.2258064516129031E-2</v>
      </c>
      <c r="AP22" s="7">
        <f>IF($B22="","",MIN(AQ22,COUNTIF(Task_Data!AM4:BQ4,1)))</f>
        <v>1</v>
      </c>
      <c r="AQ22" s="7">
        <f>IF($B22="","",Task_Data!BT4)</f>
        <v>1</v>
      </c>
      <c r="AR22" s="7" cm="1">
        <f t="array" ref="AR22">IF($B22="","",ROUND(AO22*60+_xlfn.SWITCH($C22,"High",25,"Medium",18,"Low",12,0)+IFERROR(AQ22/$BA$2,0)*15,1))</f>
        <v>20.399999999999999</v>
      </c>
      <c r="AS22" s="3"/>
      <c r="AT22" s="3"/>
      <c r="AU22" s="3"/>
      <c r="AV22" s="3"/>
      <c r="AW22" s="3"/>
      <c r="AX22" s="3"/>
      <c r="AY22" s="3"/>
      <c r="AZ22" s="3"/>
    </row>
    <row r="23" spans="1:52" ht="24" customHeight="1">
      <c r="A23" s="3"/>
      <c r="B23" s="11" t="s">
        <v>48</v>
      </c>
      <c r="C23" s="19" t="s">
        <v>49</v>
      </c>
      <c r="D23" s="19" t="s">
        <v>50</v>
      </c>
      <c r="E23" s="19" t="s">
        <v>46</v>
      </c>
      <c r="F23" s="19">
        <v>6</v>
      </c>
      <c r="G23" s="11" t="s">
        <v>51</v>
      </c>
      <c r="H23" s="16" t="b">
        <v>0</v>
      </c>
      <c r="I23" s="16" t="b">
        <v>0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0</v>
      </c>
      <c r="P23" s="16" t="b">
        <v>0</v>
      </c>
      <c r="Q23" s="16" t="b">
        <v>0</v>
      </c>
      <c r="R23" s="16" t="b">
        <v>0</v>
      </c>
      <c r="S23" s="16" t="b">
        <v>0</v>
      </c>
      <c r="T23" s="16" t="b">
        <v>0</v>
      </c>
      <c r="U23" s="16" t="b">
        <v>0</v>
      </c>
      <c r="V23" s="16" t="b">
        <v>0</v>
      </c>
      <c r="W23" s="16" t="b">
        <v>0</v>
      </c>
      <c r="X23" s="16" t="b">
        <v>0</v>
      </c>
      <c r="Y23" s="16" t="b">
        <v>0</v>
      </c>
      <c r="Z23" s="16" t="b">
        <v>0</v>
      </c>
      <c r="AA23" s="16" t="b">
        <v>0</v>
      </c>
      <c r="AB23" s="16" t="b">
        <v>0</v>
      </c>
      <c r="AC23" s="16" t="b">
        <v>0</v>
      </c>
      <c r="AD23" s="16" t="b">
        <v>0</v>
      </c>
      <c r="AE23" s="16" t="b">
        <v>0</v>
      </c>
      <c r="AF23" s="16" t="b">
        <v>0</v>
      </c>
      <c r="AG23" s="16" t="b">
        <v>0</v>
      </c>
      <c r="AH23" s="16" t="b">
        <v>0</v>
      </c>
      <c r="AI23" s="16" t="b">
        <v>0</v>
      </c>
      <c r="AJ23" s="16" t="b">
        <v>0</v>
      </c>
      <c r="AK23" s="16" t="b">
        <v>0</v>
      </c>
      <c r="AL23" s="16" t="b">
        <v>0</v>
      </c>
      <c r="AM23" s="7">
        <f>IF($B23="","",SUM(Task_Data!AM5:BQ5))</f>
        <v>1</v>
      </c>
      <c r="AN23" s="7">
        <f t="shared" si="2"/>
        <v>5</v>
      </c>
      <c r="AO23" s="12">
        <f t="shared" si="3"/>
        <v>3.2258064516129031E-2</v>
      </c>
      <c r="AP23" s="7">
        <f>IF($B23="","",MIN(AQ23,COUNTIF(Task_Data!AM5:BQ5,1)))</f>
        <v>1</v>
      </c>
      <c r="AQ23" s="7">
        <f>IF($B23="","",Task_Data!BT5)</f>
        <v>1</v>
      </c>
      <c r="AR23" s="7" cm="1">
        <f t="array" ref="AR23">IF($B23="","",ROUND(AO23*60+_xlfn.SWITCH($C23,"High",25,"Medium",18,"Low",12,0)+IFERROR(AQ23/$BA$2,0)*15,1))</f>
        <v>14.4</v>
      </c>
      <c r="AS23" s="3"/>
      <c r="AT23" s="26" t="s">
        <v>47</v>
      </c>
      <c r="AU23" s="26"/>
      <c r="AV23" s="26"/>
      <c r="AW23" s="26"/>
      <c r="AX23" s="26"/>
      <c r="AY23" s="3"/>
      <c r="AZ23" s="3"/>
    </row>
    <row r="24" spans="1:52" ht="24" customHeight="1">
      <c r="A24" s="3"/>
      <c r="B24" s="11"/>
      <c r="C24" s="19"/>
      <c r="D24" s="19"/>
      <c r="E24" s="19"/>
      <c r="F24" s="19"/>
      <c r="G24" s="11"/>
      <c r="H24" s="16" t="b">
        <v>0</v>
      </c>
      <c r="I24" s="16" t="b">
        <v>0</v>
      </c>
      <c r="J24" s="16" t="b">
        <v>0</v>
      </c>
      <c r="K24" s="16" t="b">
        <v>0</v>
      </c>
      <c r="L24" s="16" t="b">
        <v>0</v>
      </c>
      <c r="M24" s="16" t="b">
        <v>0</v>
      </c>
      <c r="N24" s="16" t="b">
        <v>0</v>
      </c>
      <c r="O24" s="16" t="b">
        <v>0</v>
      </c>
      <c r="P24" s="16" t="b">
        <v>0</v>
      </c>
      <c r="Q24" s="16" t="b">
        <v>0</v>
      </c>
      <c r="R24" s="16" t="b">
        <v>0</v>
      </c>
      <c r="S24" s="16" t="b">
        <v>0</v>
      </c>
      <c r="T24" s="16" t="b">
        <v>0</v>
      </c>
      <c r="U24" s="16" t="b">
        <v>0</v>
      </c>
      <c r="V24" s="16" t="b">
        <v>0</v>
      </c>
      <c r="W24" s="16" t="b">
        <v>0</v>
      </c>
      <c r="X24" s="16" t="b">
        <v>0</v>
      </c>
      <c r="Y24" s="16" t="b">
        <v>0</v>
      </c>
      <c r="Z24" s="16" t="b">
        <v>0</v>
      </c>
      <c r="AA24" s="16" t="b">
        <v>0</v>
      </c>
      <c r="AB24" s="16" t="b">
        <v>0</v>
      </c>
      <c r="AC24" s="16" t="b">
        <v>0</v>
      </c>
      <c r="AD24" s="16" t="b">
        <v>0</v>
      </c>
      <c r="AE24" s="16" t="b">
        <v>0</v>
      </c>
      <c r="AF24" s="16" t="b">
        <v>0</v>
      </c>
      <c r="AG24" s="16" t="b">
        <v>0</v>
      </c>
      <c r="AH24" s="16" t="b">
        <v>0</v>
      </c>
      <c r="AI24" s="16" t="b">
        <v>0</v>
      </c>
      <c r="AJ24" s="16" t="b">
        <v>0</v>
      </c>
      <c r="AK24" s="16" t="b">
        <v>0</v>
      </c>
      <c r="AL24" s="16" t="b">
        <v>0</v>
      </c>
      <c r="AM24" s="7" t="str">
        <f>IF($B24="","",SUM(Task_Data!AM6:BQ6))</f>
        <v/>
      </c>
      <c r="AN24" s="7" t="str">
        <f t="shared" si="2"/>
        <v/>
      </c>
      <c r="AO24" s="12" t="str">
        <f t="shared" si="3"/>
        <v/>
      </c>
      <c r="AP24" s="7" t="str">
        <f>IF($B24="","",MIN(AQ24,COUNTIF(Task_Data!AM6:BQ6,1)))</f>
        <v/>
      </c>
      <c r="AQ24" s="7" t="str">
        <f>IF($B24="","",Task_Data!BT6)</f>
        <v/>
      </c>
      <c r="AR24" s="7" t="str" cm="1">
        <f t="array" ref="AR24">IF($B24="","",ROUND(AO24*60+_xlfn.SWITCH($C24,"High",25,"Medium",18,"Low",12,0)+IFERROR(AQ24/$BA$2,0)*15,1))</f>
        <v/>
      </c>
      <c r="AS24" s="3"/>
      <c r="AT24" s="4"/>
      <c r="AU24" s="4"/>
      <c r="AV24" s="4"/>
      <c r="AW24" s="4"/>
      <c r="AX24" s="4"/>
      <c r="AY24" s="3"/>
      <c r="AZ24" s="3"/>
    </row>
    <row r="25" spans="1:52" ht="24" customHeight="1">
      <c r="A25" s="3"/>
      <c r="B25" s="11"/>
      <c r="C25" s="19"/>
      <c r="D25" s="19"/>
      <c r="E25" s="19"/>
      <c r="F25" s="19"/>
      <c r="G25" s="11"/>
      <c r="H25" s="16" t="b">
        <v>0</v>
      </c>
      <c r="I25" s="16" t="b">
        <v>0</v>
      </c>
      <c r="J25" s="16" t="b">
        <v>0</v>
      </c>
      <c r="K25" s="16" t="b">
        <v>0</v>
      </c>
      <c r="L25" s="16" t="b">
        <v>0</v>
      </c>
      <c r="M25" s="16" t="b">
        <v>0</v>
      </c>
      <c r="N25" s="16" t="b">
        <v>0</v>
      </c>
      <c r="O25" s="16" t="b">
        <v>0</v>
      </c>
      <c r="P25" s="16" t="b">
        <v>0</v>
      </c>
      <c r="Q25" s="16" t="b">
        <v>0</v>
      </c>
      <c r="R25" s="16" t="b">
        <v>0</v>
      </c>
      <c r="S25" s="16" t="b">
        <v>0</v>
      </c>
      <c r="T25" s="16" t="b">
        <v>0</v>
      </c>
      <c r="U25" s="16" t="b">
        <v>0</v>
      </c>
      <c r="V25" s="16" t="b">
        <v>0</v>
      </c>
      <c r="W25" s="16" t="b">
        <v>0</v>
      </c>
      <c r="X25" s="16" t="b">
        <v>0</v>
      </c>
      <c r="Y25" s="16" t="b">
        <v>0</v>
      </c>
      <c r="Z25" s="16" t="b">
        <v>0</v>
      </c>
      <c r="AA25" s="16" t="b">
        <v>0</v>
      </c>
      <c r="AB25" s="16" t="b">
        <v>0</v>
      </c>
      <c r="AC25" s="16" t="b">
        <v>0</v>
      </c>
      <c r="AD25" s="16" t="b">
        <v>0</v>
      </c>
      <c r="AE25" s="16" t="b">
        <v>0</v>
      </c>
      <c r="AF25" s="16" t="b">
        <v>0</v>
      </c>
      <c r="AG25" s="16" t="b">
        <v>0</v>
      </c>
      <c r="AH25" s="16" t="b">
        <v>0</v>
      </c>
      <c r="AI25" s="16" t="b">
        <v>0</v>
      </c>
      <c r="AJ25" s="16" t="b">
        <v>0</v>
      </c>
      <c r="AK25" s="16" t="b">
        <v>0</v>
      </c>
      <c r="AL25" s="16" t="b">
        <v>0</v>
      </c>
      <c r="AM25" s="7" t="str">
        <f>IF($B25="","",SUM(Task_Data!AM7:BQ7))</f>
        <v/>
      </c>
      <c r="AN25" s="7" t="str">
        <f t="shared" si="2"/>
        <v/>
      </c>
      <c r="AO25" s="12" t="str">
        <f t="shared" si="3"/>
        <v/>
      </c>
      <c r="AP25" s="7" t="str">
        <f>IF($B25="","",MIN(AQ25,COUNTIF(Task_Data!AM7:BQ7,1)))</f>
        <v/>
      </c>
      <c r="AQ25" s="7" t="str">
        <f>IF($B25="","",Task_Data!BT7)</f>
        <v/>
      </c>
      <c r="AR25" s="7" t="str" cm="1">
        <f t="array" ref="AR25">IF($B25="","",ROUND(AO25*60+_xlfn.SWITCH($C25,"High",25,"Medium",18,"Low",12,0)+IFERROR(AQ25/$BA$2,0)*15,1))</f>
        <v/>
      </c>
      <c r="AS25" s="3"/>
      <c r="AT25" s="4" t="str" cm="1">
        <f t="array" ref="AT25">IFERROR(INDEX($B$20:$B$69,SMALL(IF(($B$20:$B$69&lt;&gt;"")*($C$20:$C$69="High"),ROW($B$20:$B$69)-ROW($B$20)+1),ROW(A1))),"")</f>
        <v>Exercise</v>
      </c>
      <c r="AU25" s="4"/>
      <c r="AV25" s="4"/>
      <c r="AW25" s="4"/>
      <c r="AX25" s="4"/>
      <c r="AY25" s="3"/>
      <c r="AZ25" s="3"/>
    </row>
    <row r="26" spans="1:52" ht="24" customHeight="1">
      <c r="A26" s="3"/>
      <c r="B26" s="11"/>
      <c r="C26" s="19"/>
      <c r="D26" s="19"/>
      <c r="E26" s="19"/>
      <c r="F26" s="19"/>
      <c r="G26" s="11"/>
      <c r="H26" s="16" t="b">
        <v>0</v>
      </c>
      <c r="I26" s="16" t="b">
        <v>0</v>
      </c>
      <c r="J26" s="16" t="b">
        <v>0</v>
      </c>
      <c r="K26" s="16" t="b">
        <v>0</v>
      </c>
      <c r="L26" s="16" t="b">
        <v>0</v>
      </c>
      <c r="M26" s="16" t="b">
        <v>0</v>
      </c>
      <c r="N26" s="16" t="b">
        <v>0</v>
      </c>
      <c r="O26" s="16" t="b">
        <v>0</v>
      </c>
      <c r="P26" s="16" t="b">
        <v>0</v>
      </c>
      <c r="Q26" s="16" t="b">
        <v>0</v>
      </c>
      <c r="R26" s="16" t="b">
        <v>0</v>
      </c>
      <c r="S26" s="16" t="b">
        <v>0</v>
      </c>
      <c r="T26" s="16" t="b">
        <v>0</v>
      </c>
      <c r="U26" s="16" t="b">
        <v>0</v>
      </c>
      <c r="V26" s="16" t="b">
        <v>0</v>
      </c>
      <c r="W26" s="16" t="b">
        <v>0</v>
      </c>
      <c r="X26" s="16" t="b">
        <v>0</v>
      </c>
      <c r="Y26" s="16" t="b">
        <v>0</v>
      </c>
      <c r="Z26" s="16" t="b">
        <v>0</v>
      </c>
      <c r="AA26" s="16" t="b">
        <v>0</v>
      </c>
      <c r="AB26" s="16" t="b">
        <v>0</v>
      </c>
      <c r="AC26" s="16" t="b">
        <v>0</v>
      </c>
      <c r="AD26" s="16" t="b">
        <v>0</v>
      </c>
      <c r="AE26" s="16" t="b">
        <v>0</v>
      </c>
      <c r="AF26" s="16" t="b">
        <v>0</v>
      </c>
      <c r="AG26" s="16" t="b">
        <v>0</v>
      </c>
      <c r="AH26" s="16" t="b">
        <v>0</v>
      </c>
      <c r="AI26" s="16" t="b">
        <v>0</v>
      </c>
      <c r="AJ26" s="16" t="b">
        <v>0</v>
      </c>
      <c r="AK26" s="16" t="b">
        <v>0</v>
      </c>
      <c r="AL26" s="16" t="b">
        <v>0</v>
      </c>
      <c r="AM26" s="7" t="str">
        <f>IF($B26="","",SUM(Task_Data!AM8:BQ8))</f>
        <v/>
      </c>
      <c r="AN26" s="7" t="str">
        <f t="shared" si="2"/>
        <v/>
      </c>
      <c r="AO26" s="12" t="str">
        <f t="shared" si="3"/>
        <v/>
      </c>
      <c r="AP26" s="7" t="str">
        <f>IF($B26="","",MIN(AQ26,COUNTIF(Task_Data!AM8:BQ8,1)))</f>
        <v/>
      </c>
      <c r="AQ26" s="7" t="str">
        <f>IF($B26="","",Task_Data!BT8)</f>
        <v/>
      </c>
      <c r="AR26" s="7" t="str" cm="1">
        <f t="array" ref="AR26">IF($B26="","",ROUND(AO26*60+_xlfn.SWITCH($C26,"High",25,"Medium",18,"Low",12,0)+IFERROR(AQ26/$BA$2,0)*15,1))</f>
        <v/>
      </c>
      <c r="AS26" s="3"/>
      <c r="AT26" s="4" t="str" cm="1">
        <f t="array" ref="AT26">IFERROR(INDEX($B$20:$B$69,SMALL(IF(($B$20:$B$69&lt;&gt;"")*($C$20:$C$69="High"),ROW($B$20:$B$69)-ROW($B$20)+1),ROW(A2))),"")</f>
        <v>Study</v>
      </c>
      <c r="AU26" s="4"/>
      <c r="AV26" s="4"/>
      <c r="AW26" s="4"/>
      <c r="AX26" s="4"/>
      <c r="AY26" s="3"/>
      <c r="AZ26" s="3"/>
    </row>
    <row r="27" spans="1:52" ht="24" customHeight="1">
      <c r="A27" s="3"/>
      <c r="B27" s="11"/>
      <c r="C27" s="19"/>
      <c r="D27" s="19"/>
      <c r="E27" s="19"/>
      <c r="F27" s="19"/>
      <c r="G27" s="11"/>
      <c r="H27" s="16" t="b">
        <v>0</v>
      </c>
      <c r="I27" s="16" t="b">
        <v>0</v>
      </c>
      <c r="J27" s="16" t="b">
        <v>0</v>
      </c>
      <c r="K27" s="16" t="b">
        <v>0</v>
      </c>
      <c r="L27" s="16" t="b">
        <v>0</v>
      </c>
      <c r="M27" s="16" t="b">
        <v>0</v>
      </c>
      <c r="N27" s="16" t="b">
        <v>0</v>
      </c>
      <c r="O27" s="16" t="b">
        <v>0</v>
      </c>
      <c r="P27" s="16" t="b">
        <v>0</v>
      </c>
      <c r="Q27" s="16" t="b">
        <v>0</v>
      </c>
      <c r="R27" s="16" t="b">
        <v>0</v>
      </c>
      <c r="S27" s="16" t="b">
        <v>0</v>
      </c>
      <c r="T27" s="16" t="b">
        <v>0</v>
      </c>
      <c r="U27" s="16" t="b">
        <v>0</v>
      </c>
      <c r="V27" s="16" t="b">
        <v>0</v>
      </c>
      <c r="W27" s="16" t="b">
        <v>0</v>
      </c>
      <c r="X27" s="16" t="b">
        <v>0</v>
      </c>
      <c r="Y27" s="16" t="b">
        <v>0</v>
      </c>
      <c r="Z27" s="16" t="b">
        <v>0</v>
      </c>
      <c r="AA27" s="16" t="b">
        <v>0</v>
      </c>
      <c r="AB27" s="16" t="b">
        <v>0</v>
      </c>
      <c r="AC27" s="16" t="b">
        <v>0</v>
      </c>
      <c r="AD27" s="16" t="b">
        <v>0</v>
      </c>
      <c r="AE27" s="16" t="b">
        <v>0</v>
      </c>
      <c r="AF27" s="16" t="b">
        <v>0</v>
      </c>
      <c r="AG27" s="16" t="b">
        <v>0</v>
      </c>
      <c r="AH27" s="16" t="b">
        <v>0</v>
      </c>
      <c r="AI27" s="16" t="b">
        <v>0</v>
      </c>
      <c r="AJ27" s="16" t="b">
        <v>0</v>
      </c>
      <c r="AK27" s="16" t="b">
        <v>0</v>
      </c>
      <c r="AL27" s="16" t="b">
        <v>0</v>
      </c>
      <c r="AM27" s="7" t="str">
        <f>IF($B27="","",SUM(Task_Data!AM9:BQ9))</f>
        <v/>
      </c>
      <c r="AN27" s="7" t="str">
        <f t="shared" si="2"/>
        <v/>
      </c>
      <c r="AO27" s="12" t="str">
        <f t="shared" si="3"/>
        <v/>
      </c>
      <c r="AP27" s="7" t="str">
        <f>IF($B27="","",MIN(AQ27,COUNTIF(Task_Data!AM9:BQ9,1)))</f>
        <v/>
      </c>
      <c r="AQ27" s="7" t="str">
        <f>IF($B27="","",Task_Data!BT9)</f>
        <v/>
      </c>
      <c r="AR27" s="7" t="str" cm="1">
        <f t="array" ref="AR27">IF($B27="","",ROUND(AO27*60+_xlfn.SWITCH($C27,"High",25,"Medium",18,"Low",12,0)+IFERROR(AQ27/$BA$2,0)*15,1))</f>
        <v/>
      </c>
      <c r="AS27" s="3"/>
      <c r="AT27" s="4" t="str" cm="1">
        <f t="array" ref="AT27">IFERROR(INDEX($B$20:$B$69,SMALL(IF(($B$20:$B$69&lt;&gt;"")*($C$20:$C$69="High"),ROW($B$20:$B$69)-ROW($B$20)+1),ROW(A3))),"")</f>
        <v/>
      </c>
      <c r="AU27" s="4"/>
      <c r="AV27" s="4"/>
      <c r="AW27" s="4"/>
      <c r="AX27" s="4"/>
      <c r="AY27" s="3"/>
      <c r="AZ27" s="3"/>
    </row>
    <row r="28" spans="1:52" ht="24" customHeight="1">
      <c r="A28" s="3"/>
      <c r="B28" s="11"/>
      <c r="C28" s="19"/>
      <c r="D28" s="19"/>
      <c r="E28" s="19"/>
      <c r="F28" s="19"/>
      <c r="G28" s="11"/>
      <c r="H28" s="16" t="b">
        <v>0</v>
      </c>
      <c r="I28" s="16" t="b">
        <v>0</v>
      </c>
      <c r="J28" s="16" t="b">
        <v>0</v>
      </c>
      <c r="K28" s="16" t="b">
        <v>0</v>
      </c>
      <c r="L28" s="16" t="b">
        <v>0</v>
      </c>
      <c r="M28" s="16" t="b">
        <v>0</v>
      </c>
      <c r="N28" s="16" t="b">
        <v>0</v>
      </c>
      <c r="O28" s="16" t="b">
        <v>0</v>
      </c>
      <c r="P28" s="16" t="b">
        <v>0</v>
      </c>
      <c r="Q28" s="16" t="b">
        <v>0</v>
      </c>
      <c r="R28" s="16" t="b">
        <v>0</v>
      </c>
      <c r="S28" s="16" t="b">
        <v>0</v>
      </c>
      <c r="T28" s="16" t="b">
        <v>0</v>
      </c>
      <c r="U28" s="16" t="b">
        <v>0</v>
      </c>
      <c r="V28" s="16" t="b">
        <v>0</v>
      </c>
      <c r="W28" s="16" t="b">
        <v>0</v>
      </c>
      <c r="X28" s="16" t="b">
        <v>0</v>
      </c>
      <c r="Y28" s="16" t="b">
        <v>0</v>
      </c>
      <c r="Z28" s="16" t="b">
        <v>0</v>
      </c>
      <c r="AA28" s="16" t="b">
        <v>0</v>
      </c>
      <c r="AB28" s="16" t="b">
        <v>0</v>
      </c>
      <c r="AC28" s="16" t="b">
        <v>0</v>
      </c>
      <c r="AD28" s="16" t="b">
        <v>0</v>
      </c>
      <c r="AE28" s="16" t="b">
        <v>0</v>
      </c>
      <c r="AF28" s="16" t="b">
        <v>0</v>
      </c>
      <c r="AG28" s="16" t="b">
        <v>0</v>
      </c>
      <c r="AH28" s="16" t="b">
        <v>0</v>
      </c>
      <c r="AI28" s="16" t="b">
        <v>0</v>
      </c>
      <c r="AJ28" s="16" t="b">
        <v>0</v>
      </c>
      <c r="AK28" s="16" t="b">
        <v>0</v>
      </c>
      <c r="AL28" s="16" t="b">
        <v>0</v>
      </c>
      <c r="AM28" s="7" t="str">
        <f>IF($B28="","",SUM(Task_Data!AM10:BQ10))</f>
        <v/>
      </c>
      <c r="AN28" s="7" t="str">
        <f t="shared" si="2"/>
        <v/>
      </c>
      <c r="AO28" s="12" t="str">
        <f t="shared" si="3"/>
        <v/>
      </c>
      <c r="AP28" s="7" t="str">
        <f>IF($B28="","",MIN(AQ28,COUNTIF(Task_Data!AM10:BQ10,1)))</f>
        <v/>
      </c>
      <c r="AQ28" s="7" t="str">
        <f>IF($B28="","",Task_Data!BT10)</f>
        <v/>
      </c>
      <c r="AR28" s="7" t="str" cm="1">
        <f t="array" ref="AR28">IF($B28="","",ROUND(AO28*60+_xlfn.SWITCH($C28,"High",25,"Medium",18,"Low",12,0)+IFERROR(AQ28/$BA$2,0)*15,1))</f>
        <v/>
      </c>
      <c r="AS28" s="3"/>
      <c r="AT28" s="4" t="str" cm="1">
        <f t="array" ref="AT28">IFERROR(INDEX($B$20:$B$69,SMALL(IF(($B$20:$B$69&lt;&gt;"")*($C$20:$C$69="High"),ROW($B$20:$B$69)-ROW($B$20)+1),ROW(A4))),"")</f>
        <v/>
      </c>
      <c r="AU28" s="4"/>
      <c r="AV28" s="4"/>
      <c r="AW28" s="4"/>
      <c r="AX28" s="4"/>
      <c r="AY28" s="3"/>
      <c r="AZ28" s="3"/>
    </row>
    <row r="29" spans="1:52" ht="24" customHeight="1">
      <c r="A29" s="3"/>
      <c r="B29" s="11"/>
      <c r="C29" s="19"/>
      <c r="D29" s="19"/>
      <c r="E29" s="19"/>
      <c r="F29" s="19"/>
      <c r="G29" s="11"/>
      <c r="H29" s="16" t="b">
        <v>0</v>
      </c>
      <c r="I29" s="16" t="b">
        <v>0</v>
      </c>
      <c r="J29" s="16" t="b">
        <v>0</v>
      </c>
      <c r="K29" s="16" t="b">
        <v>0</v>
      </c>
      <c r="L29" s="16" t="b">
        <v>0</v>
      </c>
      <c r="M29" s="16" t="b">
        <v>0</v>
      </c>
      <c r="N29" s="16" t="b">
        <v>0</v>
      </c>
      <c r="O29" s="16" t="b">
        <v>0</v>
      </c>
      <c r="P29" s="16" t="b">
        <v>0</v>
      </c>
      <c r="Q29" s="16" t="b">
        <v>0</v>
      </c>
      <c r="R29" s="16" t="b">
        <v>0</v>
      </c>
      <c r="S29" s="16" t="b">
        <v>0</v>
      </c>
      <c r="T29" s="16" t="b">
        <v>0</v>
      </c>
      <c r="U29" s="16" t="b">
        <v>0</v>
      </c>
      <c r="V29" s="16" t="b">
        <v>0</v>
      </c>
      <c r="W29" s="16" t="b">
        <v>0</v>
      </c>
      <c r="X29" s="16" t="b">
        <v>0</v>
      </c>
      <c r="Y29" s="16" t="b">
        <v>0</v>
      </c>
      <c r="Z29" s="16" t="b">
        <v>0</v>
      </c>
      <c r="AA29" s="16" t="b">
        <v>0</v>
      </c>
      <c r="AB29" s="16" t="b">
        <v>0</v>
      </c>
      <c r="AC29" s="16" t="b">
        <v>0</v>
      </c>
      <c r="AD29" s="16" t="b">
        <v>0</v>
      </c>
      <c r="AE29" s="16" t="b">
        <v>0</v>
      </c>
      <c r="AF29" s="16" t="b">
        <v>0</v>
      </c>
      <c r="AG29" s="16" t="b">
        <v>0</v>
      </c>
      <c r="AH29" s="16" t="b">
        <v>0</v>
      </c>
      <c r="AI29" s="16" t="b">
        <v>0</v>
      </c>
      <c r="AJ29" s="16" t="b">
        <v>0</v>
      </c>
      <c r="AK29" s="16" t="b">
        <v>0</v>
      </c>
      <c r="AL29" s="16" t="b">
        <v>0</v>
      </c>
      <c r="AM29" s="7" t="str">
        <f>IF($B29="","",SUM(Task_Data!AM11:BQ11))</f>
        <v/>
      </c>
      <c r="AN29" s="7" t="str">
        <f t="shared" si="2"/>
        <v/>
      </c>
      <c r="AO29" s="12" t="str">
        <f t="shared" si="3"/>
        <v/>
      </c>
      <c r="AP29" s="7" t="str">
        <f>IF($B29="","",MIN(AQ29,COUNTIF(Task_Data!AM11:BQ11,1)))</f>
        <v/>
      </c>
      <c r="AQ29" s="7" t="str">
        <f>IF($B29="","",Task_Data!BT11)</f>
        <v/>
      </c>
      <c r="AR29" s="7" t="str" cm="1">
        <f t="array" ref="AR29">IF($B29="","",ROUND(AO29*60+_xlfn.SWITCH($C29,"High",25,"Medium",18,"Low",12,0)+IFERROR(AQ29/$BA$2,0)*15,1))</f>
        <v/>
      </c>
      <c r="AS29" s="3"/>
      <c r="AT29" s="4" t="str" cm="1">
        <f t="array" ref="AT29">IFERROR(INDEX($B$20:$B$69,SMALL(IF(($B$20:$B$69&lt;&gt;"")*($C$20:$C$69="High"),ROW($B$20:$B$69)-ROW($B$20)+1),ROW(A5))),"")</f>
        <v/>
      </c>
      <c r="AU29" s="4"/>
      <c r="AV29" s="4"/>
      <c r="AW29" s="4"/>
      <c r="AX29" s="4"/>
      <c r="AY29" s="3"/>
      <c r="AZ29" s="3"/>
    </row>
    <row r="30" spans="1:52" ht="24" customHeight="1">
      <c r="A30" s="3"/>
      <c r="B30" s="11"/>
      <c r="C30" s="19"/>
      <c r="D30" s="19"/>
      <c r="E30" s="19"/>
      <c r="F30" s="19"/>
      <c r="G30" s="11"/>
      <c r="H30" s="16" t="b">
        <v>0</v>
      </c>
      <c r="I30" s="16" t="b">
        <v>0</v>
      </c>
      <c r="J30" s="16" t="b">
        <v>0</v>
      </c>
      <c r="K30" s="16" t="b">
        <v>0</v>
      </c>
      <c r="L30" s="16" t="b">
        <v>0</v>
      </c>
      <c r="M30" s="16" t="b">
        <v>0</v>
      </c>
      <c r="N30" s="16" t="b">
        <v>0</v>
      </c>
      <c r="O30" s="16" t="b">
        <v>0</v>
      </c>
      <c r="P30" s="16" t="b">
        <v>0</v>
      </c>
      <c r="Q30" s="16" t="b">
        <v>0</v>
      </c>
      <c r="R30" s="16" t="b">
        <v>0</v>
      </c>
      <c r="S30" s="16" t="b">
        <v>0</v>
      </c>
      <c r="T30" s="16" t="b">
        <v>0</v>
      </c>
      <c r="U30" s="16" t="b">
        <v>0</v>
      </c>
      <c r="V30" s="16" t="b">
        <v>0</v>
      </c>
      <c r="W30" s="16" t="b">
        <v>0</v>
      </c>
      <c r="X30" s="16" t="b">
        <v>0</v>
      </c>
      <c r="Y30" s="16" t="b">
        <v>0</v>
      </c>
      <c r="Z30" s="16" t="b">
        <v>0</v>
      </c>
      <c r="AA30" s="16" t="b">
        <v>0</v>
      </c>
      <c r="AB30" s="16" t="b">
        <v>0</v>
      </c>
      <c r="AC30" s="16" t="b">
        <v>0</v>
      </c>
      <c r="AD30" s="16" t="b">
        <v>0</v>
      </c>
      <c r="AE30" s="16" t="b">
        <v>0</v>
      </c>
      <c r="AF30" s="16" t="b">
        <v>0</v>
      </c>
      <c r="AG30" s="16" t="b">
        <v>0</v>
      </c>
      <c r="AH30" s="16" t="b">
        <v>0</v>
      </c>
      <c r="AI30" s="16" t="b">
        <v>0</v>
      </c>
      <c r="AJ30" s="16" t="b">
        <v>0</v>
      </c>
      <c r="AK30" s="16" t="b">
        <v>0</v>
      </c>
      <c r="AL30" s="16" t="b">
        <v>0</v>
      </c>
      <c r="AM30" s="7" t="str">
        <f>IF($B30="","",SUM(Task_Data!AM12:BQ12))</f>
        <v/>
      </c>
      <c r="AN30" s="7" t="str">
        <f t="shared" si="2"/>
        <v/>
      </c>
      <c r="AO30" s="12" t="str">
        <f t="shared" si="3"/>
        <v/>
      </c>
      <c r="AP30" s="7" t="str">
        <f>IF($B30="","",MIN(AQ30,COUNTIF(Task_Data!AM12:BQ12,1)))</f>
        <v/>
      </c>
      <c r="AQ30" s="7" t="str">
        <f>IF($B30="","",Task_Data!BT12)</f>
        <v/>
      </c>
      <c r="AR30" s="7" t="str" cm="1">
        <f t="array" ref="AR30">IF($B30="","",ROUND(AO30*60+_xlfn.SWITCH($C30,"High",25,"Medium",18,"Low",12,0)+IFERROR(AQ30/$BA$2,0)*15,1))</f>
        <v/>
      </c>
      <c r="AS30" s="3"/>
      <c r="AT30" s="4"/>
      <c r="AU30" s="4"/>
      <c r="AV30" s="4"/>
      <c r="AW30" s="4"/>
      <c r="AX30" s="4"/>
      <c r="AY30" s="3"/>
      <c r="AZ30" s="3"/>
    </row>
    <row r="31" spans="1:52" ht="24" customHeight="1">
      <c r="A31" s="3"/>
      <c r="B31" s="11"/>
      <c r="C31" s="19"/>
      <c r="D31" s="19"/>
      <c r="E31" s="19"/>
      <c r="F31" s="19"/>
      <c r="G31" s="11"/>
      <c r="H31" s="16" t="b">
        <v>0</v>
      </c>
      <c r="I31" s="16" t="b">
        <v>0</v>
      </c>
      <c r="J31" s="16" t="b">
        <v>0</v>
      </c>
      <c r="K31" s="16" t="b">
        <v>0</v>
      </c>
      <c r="L31" s="16" t="b">
        <v>0</v>
      </c>
      <c r="M31" s="16" t="b">
        <v>0</v>
      </c>
      <c r="N31" s="16" t="b">
        <v>0</v>
      </c>
      <c r="O31" s="16" t="b">
        <v>0</v>
      </c>
      <c r="P31" s="16" t="b">
        <v>0</v>
      </c>
      <c r="Q31" s="16" t="b">
        <v>0</v>
      </c>
      <c r="R31" s="16" t="b">
        <v>0</v>
      </c>
      <c r="S31" s="16" t="b">
        <v>0</v>
      </c>
      <c r="T31" s="16" t="b">
        <v>0</v>
      </c>
      <c r="U31" s="16" t="b">
        <v>0</v>
      </c>
      <c r="V31" s="16" t="b">
        <v>0</v>
      </c>
      <c r="W31" s="16" t="b">
        <v>0</v>
      </c>
      <c r="X31" s="16" t="b">
        <v>0</v>
      </c>
      <c r="Y31" s="16" t="b">
        <v>0</v>
      </c>
      <c r="Z31" s="16" t="b">
        <v>0</v>
      </c>
      <c r="AA31" s="16" t="b">
        <v>0</v>
      </c>
      <c r="AB31" s="16" t="b">
        <v>0</v>
      </c>
      <c r="AC31" s="16" t="b">
        <v>0</v>
      </c>
      <c r="AD31" s="16" t="b">
        <v>0</v>
      </c>
      <c r="AE31" s="16" t="b">
        <v>0</v>
      </c>
      <c r="AF31" s="16" t="b">
        <v>0</v>
      </c>
      <c r="AG31" s="16" t="b">
        <v>0</v>
      </c>
      <c r="AH31" s="16" t="b">
        <v>0</v>
      </c>
      <c r="AI31" s="16" t="b">
        <v>0</v>
      </c>
      <c r="AJ31" s="16" t="b">
        <v>0</v>
      </c>
      <c r="AK31" s="16" t="b">
        <v>0</v>
      </c>
      <c r="AL31" s="16" t="b">
        <v>0</v>
      </c>
      <c r="AM31" s="7" t="str">
        <f>IF($B31="","",SUM(Task_Data!AM13:BQ13))</f>
        <v/>
      </c>
      <c r="AN31" s="7" t="str">
        <f t="shared" si="2"/>
        <v/>
      </c>
      <c r="AO31" s="12" t="str">
        <f t="shared" si="3"/>
        <v/>
      </c>
      <c r="AP31" s="7" t="str">
        <f>IF($B31="","",MIN(AQ31,COUNTIF(Task_Data!AM13:BQ13,1)))</f>
        <v/>
      </c>
      <c r="AQ31" s="7" t="str">
        <f>IF($B31="","",Task_Data!BT13)</f>
        <v/>
      </c>
      <c r="AR31" s="7" t="str" cm="1">
        <f t="array" ref="AR31">IF($B31="","",ROUND(AO31*60+_xlfn.SWITCH($C31,"High",25,"Medium",18,"Low",12,0)+IFERROR(AQ31/$BA$2,0)*15,1))</f>
        <v/>
      </c>
      <c r="AS31" s="3"/>
      <c r="AT31" s="3"/>
      <c r="AU31" s="3"/>
      <c r="AV31" s="3"/>
      <c r="AW31" s="3"/>
      <c r="AX31" s="3"/>
      <c r="AY31" s="3"/>
      <c r="AZ31" s="3"/>
    </row>
    <row r="32" spans="1:52" ht="24" customHeight="1">
      <c r="A32" s="3"/>
      <c r="B32" s="11"/>
      <c r="C32" s="19"/>
      <c r="D32" s="19"/>
      <c r="E32" s="19"/>
      <c r="F32" s="19"/>
      <c r="G32" s="11"/>
      <c r="H32" s="16" t="b">
        <v>0</v>
      </c>
      <c r="I32" s="16" t="b">
        <v>0</v>
      </c>
      <c r="J32" s="16" t="b">
        <v>0</v>
      </c>
      <c r="K32" s="16" t="b">
        <v>0</v>
      </c>
      <c r="L32" s="16" t="b">
        <v>0</v>
      </c>
      <c r="M32" s="16" t="b">
        <v>0</v>
      </c>
      <c r="N32" s="16" t="b">
        <v>0</v>
      </c>
      <c r="O32" s="16" t="b">
        <v>0</v>
      </c>
      <c r="P32" s="16" t="b">
        <v>0</v>
      </c>
      <c r="Q32" s="16" t="b">
        <v>0</v>
      </c>
      <c r="R32" s="16" t="b">
        <v>0</v>
      </c>
      <c r="S32" s="16" t="b">
        <v>0</v>
      </c>
      <c r="T32" s="16" t="b">
        <v>0</v>
      </c>
      <c r="U32" s="16" t="b">
        <v>0</v>
      </c>
      <c r="V32" s="16" t="b">
        <v>0</v>
      </c>
      <c r="W32" s="16" t="b">
        <v>0</v>
      </c>
      <c r="X32" s="16" t="b">
        <v>0</v>
      </c>
      <c r="Y32" s="16" t="b">
        <v>0</v>
      </c>
      <c r="Z32" s="16" t="b">
        <v>0</v>
      </c>
      <c r="AA32" s="16" t="b">
        <v>0</v>
      </c>
      <c r="AB32" s="16" t="b">
        <v>0</v>
      </c>
      <c r="AC32" s="16" t="b">
        <v>0</v>
      </c>
      <c r="AD32" s="16" t="b">
        <v>0</v>
      </c>
      <c r="AE32" s="16" t="b">
        <v>0</v>
      </c>
      <c r="AF32" s="16" t="b">
        <v>0</v>
      </c>
      <c r="AG32" s="16" t="b">
        <v>0</v>
      </c>
      <c r="AH32" s="16" t="b">
        <v>0</v>
      </c>
      <c r="AI32" s="16" t="b">
        <v>0</v>
      </c>
      <c r="AJ32" s="16" t="b">
        <v>0</v>
      </c>
      <c r="AK32" s="16" t="b">
        <v>0</v>
      </c>
      <c r="AL32" s="16" t="b">
        <v>0</v>
      </c>
      <c r="AM32" s="7" t="str">
        <f>IF($B32="","",SUM(Task_Data!AM14:BQ14))</f>
        <v/>
      </c>
      <c r="AN32" s="7" t="str">
        <f t="shared" si="2"/>
        <v/>
      </c>
      <c r="AO32" s="12" t="str">
        <f t="shared" si="3"/>
        <v/>
      </c>
      <c r="AP32" s="7" t="str">
        <f>IF($B32="","",MIN(AQ32,COUNTIF(Task_Data!AM14:BQ14,1)))</f>
        <v/>
      </c>
      <c r="AQ32" s="7" t="str">
        <f>IF($B32="","",Task_Data!BT14)</f>
        <v/>
      </c>
      <c r="AR32" s="7" t="str" cm="1">
        <f t="array" ref="AR32">IF($B32="","",ROUND(AO32*60+_xlfn.SWITCH($C32,"High",25,"Medium",18,"Low",12,0)+IFERROR(AQ32/$BA$2,0)*15,1))</f>
        <v/>
      </c>
      <c r="AS32" s="3"/>
      <c r="AT32" s="3"/>
      <c r="AU32" s="3"/>
      <c r="AV32" s="3"/>
      <c r="AW32" s="3"/>
      <c r="AX32" s="3"/>
      <c r="AY32" s="3"/>
      <c r="AZ32" s="3"/>
    </row>
    <row r="33" spans="1:52" ht="24" customHeight="1">
      <c r="A33" s="3"/>
      <c r="B33" s="11"/>
      <c r="C33" s="19"/>
      <c r="D33" s="19"/>
      <c r="E33" s="19"/>
      <c r="F33" s="19"/>
      <c r="G33" s="11"/>
      <c r="H33" s="16" t="b">
        <v>0</v>
      </c>
      <c r="I33" s="16" t="b">
        <v>0</v>
      </c>
      <c r="J33" s="16" t="b">
        <v>0</v>
      </c>
      <c r="K33" s="16" t="b">
        <v>0</v>
      </c>
      <c r="L33" s="16" t="b">
        <v>0</v>
      </c>
      <c r="M33" s="16" t="b">
        <v>0</v>
      </c>
      <c r="N33" s="16" t="b">
        <v>0</v>
      </c>
      <c r="O33" s="16" t="b">
        <v>0</v>
      </c>
      <c r="P33" s="16" t="b">
        <v>0</v>
      </c>
      <c r="Q33" s="16" t="b">
        <v>0</v>
      </c>
      <c r="R33" s="16" t="b">
        <v>0</v>
      </c>
      <c r="S33" s="16" t="b">
        <v>0</v>
      </c>
      <c r="T33" s="16" t="b">
        <v>0</v>
      </c>
      <c r="U33" s="16" t="b">
        <v>0</v>
      </c>
      <c r="V33" s="16" t="b">
        <v>0</v>
      </c>
      <c r="W33" s="16" t="b">
        <v>0</v>
      </c>
      <c r="X33" s="16" t="b">
        <v>0</v>
      </c>
      <c r="Y33" s="16" t="b">
        <v>0</v>
      </c>
      <c r="Z33" s="16" t="b">
        <v>0</v>
      </c>
      <c r="AA33" s="16" t="b">
        <v>0</v>
      </c>
      <c r="AB33" s="16" t="b">
        <v>0</v>
      </c>
      <c r="AC33" s="16" t="b">
        <v>0</v>
      </c>
      <c r="AD33" s="16" t="b">
        <v>0</v>
      </c>
      <c r="AE33" s="16" t="b">
        <v>0</v>
      </c>
      <c r="AF33" s="16" t="b">
        <v>0</v>
      </c>
      <c r="AG33" s="16" t="b">
        <v>0</v>
      </c>
      <c r="AH33" s="16" t="b">
        <v>0</v>
      </c>
      <c r="AI33" s="16" t="b">
        <v>0</v>
      </c>
      <c r="AJ33" s="16" t="b">
        <v>0</v>
      </c>
      <c r="AK33" s="16" t="b">
        <v>0</v>
      </c>
      <c r="AL33" s="16" t="b">
        <v>0</v>
      </c>
      <c r="AM33" s="7" t="str">
        <f>IF($B33="","",SUM(Task_Data!AM15:BQ15))</f>
        <v/>
      </c>
      <c r="AN33" s="7" t="str">
        <f t="shared" si="2"/>
        <v/>
      </c>
      <c r="AO33" s="12" t="str">
        <f t="shared" si="3"/>
        <v/>
      </c>
      <c r="AP33" s="7" t="str">
        <f>IF($B33="","",MIN(AQ33,COUNTIF(Task_Data!AM15:BQ15,1)))</f>
        <v/>
      </c>
      <c r="AQ33" s="7" t="str">
        <f>IF($B33="","",Task_Data!BT15)</f>
        <v/>
      </c>
      <c r="AR33" s="7" t="str" cm="1">
        <f t="array" ref="AR33">IF($B33="","",ROUND(AO33*60+_xlfn.SWITCH($C33,"High",25,"Medium",18,"Low",12,0)+IFERROR(AQ33/$BA$2,0)*15,1))</f>
        <v/>
      </c>
      <c r="AS33" s="3"/>
      <c r="AT33" s="27" t="s">
        <v>52</v>
      </c>
      <c r="AU33" s="27"/>
      <c r="AV33" s="27"/>
      <c r="AW33" s="27"/>
      <c r="AX33" s="27"/>
      <c r="AY33" s="3"/>
      <c r="AZ33" s="3"/>
    </row>
    <row r="34" spans="1:52" ht="24" customHeight="1">
      <c r="A34" s="3"/>
      <c r="B34" s="11"/>
      <c r="C34" s="19"/>
      <c r="D34" s="19"/>
      <c r="E34" s="19"/>
      <c r="F34" s="19"/>
      <c r="G34" s="11"/>
      <c r="H34" s="16" t="b">
        <v>0</v>
      </c>
      <c r="I34" s="16" t="b">
        <v>0</v>
      </c>
      <c r="J34" s="16" t="b">
        <v>0</v>
      </c>
      <c r="K34" s="16" t="b">
        <v>0</v>
      </c>
      <c r="L34" s="16" t="b">
        <v>0</v>
      </c>
      <c r="M34" s="16" t="b">
        <v>0</v>
      </c>
      <c r="N34" s="16" t="b">
        <v>0</v>
      </c>
      <c r="O34" s="16" t="b">
        <v>0</v>
      </c>
      <c r="P34" s="16" t="b">
        <v>0</v>
      </c>
      <c r="Q34" s="16" t="b">
        <v>0</v>
      </c>
      <c r="R34" s="16" t="b">
        <v>0</v>
      </c>
      <c r="S34" s="16" t="b">
        <v>0</v>
      </c>
      <c r="T34" s="16" t="b">
        <v>0</v>
      </c>
      <c r="U34" s="16" t="b">
        <v>0</v>
      </c>
      <c r="V34" s="16" t="b">
        <v>0</v>
      </c>
      <c r="W34" s="16" t="b">
        <v>0</v>
      </c>
      <c r="X34" s="16" t="b">
        <v>0</v>
      </c>
      <c r="Y34" s="16" t="b">
        <v>0</v>
      </c>
      <c r="Z34" s="16" t="b">
        <v>0</v>
      </c>
      <c r="AA34" s="16" t="b">
        <v>0</v>
      </c>
      <c r="AB34" s="16" t="b">
        <v>0</v>
      </c>
      <c r="AC34" s="16" t="b">
        <v>0</v>
      </c>
      <c r="AD34" s="16" t="b">
        <v>0</v>
      </c>
      <c r="AE34" s="16" t="b">
        <v>0</v>
      </c>
      <c r="AF34" s="16" t="b">
        <v>0</v>
      </c>
      <c r="AG34" s="16" t="b">
        <v>0</v>
      </c>
      <c r="AH34" s="16" t="b">
        <v>0</v>
      </c>
      <c r="AI34" s="16" t="b">
        <v>0</v>
      </c>
      <c r="AJ34" s="16" t="b">
        <v>0</v>
      </c>
      <c r="AK34" s="16" t="b">
        <v>0</v>
      </c>
      <c r="AL34" s="16" t="b">
        <v>0</v>
      </c>
      <c r="AM34" s="7" t="str">
        <f>IF($B34="","",SUM(Task_Data!AM16:BQ16))</f>
        <v/>
      </c>
      <c r="AN34" s="7" t="str">
        <f t="shared" si="2"/>
        <v/>
      </c>
      <c r="AO34" s="12" t="str">
        <f t="shared" si="3"/>
        <v/>
      </c>
      <c r="AP34" s="7" t="str">
        <f>IF($B34="","",MIN(AQ34,COUNTIF(Task_Data!AM16:BQ16,1)))</f>
        <v/>
      </c>
      <c r="AQ34" s="7" t="str">
        <f>IF($B34="","",Task_Data!BT16)</f>
        <v/>
      </c>
      <c r="AR34" s="7" t="str" cm="1">
        <f t="array" ref="AR34">IF($B34="","",ROUND(AO34*60+_xlfn.SWITCH($C34,"High",25,"Medium",18,"Low",12,0)+IFERROR(AQ34/$BA$2,0)*15,1))</f>
        <v/>
      </c>
      <c r="AS34" s="3"/>
      <c r="AT34" s="4"/>
      <c r="AU34" s="4"/>
      <c r="AV34" s="4"/>
      <c r="AW34" s="4"/>
      <c r="AX34" s="4"/>
      <c r="AY34" s="3"/>
      <c r="AZ34" s="3"/>
    </row>
    <row r="35" spans="1:52" ht="24" customHeight="1">
      <c r="A35" s="3"/>
      <c r="B35" s="11"/>
      <c r="C35" s="19"/>
      <c r="D35" s="19"/>
      <c r="E35" s="19"/>
      <c r="F35" s="19"/>
      <c r="G35" s="11"/>
      <c r="H35" s="16" t="b">
        <v>0</v>
      </c>
      <c r="I35" s="16" t="b">
        <v>0</v>
      </c>
      <c r="J35" s="16" t="b">
        <v>0</v>
      </c>
      <c r="K35" s="16" t="b">
        <v>0</v>
      </c>
      <c r="L35" s="16" t="b">
        <v>0</v>
      </c>
      <c r="M35" s="16" t="b">
        <v>0</v>
      </c>
      <c r="N35" s="16" t="b">
        <v>0</v>
      </c>
      <c r="O35" s="16" t="b">
        <v>0</v>
      </c>
      <c r="P35" s="16" t="b">
        <v>0</v>
      </c>
      <c r="Q35" s="16" t="b">
        <v>0</v>
      </c>
      <c r="R35" s="16" t="b">
        <v>0</v>
      </c>
      <c r="S35" s="16" t="b">
        <v>0</v>
      </c>
      <c r="T35" s="16" t="b">
        <v>0</v>
      </c>
      <c r="U35" s="16" t="b">
        <v>0</v>
      </c>
      <c r="V35" s="16" t="b">
        <v>0</v>
      </c>
      <c r="W35" s="16" t="b">
        <v>0</v>
      </c>
      <c r="X35" s="16" t="b">
        <v>0</v>
      </c>
      <c r="Y35" s="16" t="b">
        <v>0</v>
      </c>
      <c r="Z35" s="16" t="b">
        <v>0</v>
      </c>
      <c r="AA35" s="16" t="b">
        <v>0</v>
      </c>
      <c r="AB35" s="16" t="b">
        <v>0</v>
      </c>
      <c r="AC35" s="16" t="b">
        <v>0</v>
      </c>
      <c r="AD35" s="16" t="b">
        <v>0</v>
      </c>
      <c r="AE35" s="16" t="b">
        <v>0</v>
      </c>
      <c r="AF35" s="16" t="b">
        <v>0</v>
      </c>
      <c r="AG35" s="16" t="b">
        <v>0</v>
      </c>
      <c r="AH35" s="16" t="b">
        <v>0</v>
      </c>
      <c r="AI35" s="16" t="b">
        <v>0</v>
      </c>
      <c r="AJ35" s="16" t="b">
        <v>0</v>
      </c>
      <c r="AK35" s="16" t="b">
        <v>0</v>
      </c>
      <c r="AL35" s="16" t="b">
        <v>0</v>
      </c>
      <c r="AM35" s="7" t="str">
        <f>IF($B35="","",SUM(Task_Data!AM17:BQ17))</f>
        <v/>
      </c>
      <c r="AN35" s="7" t="str">
        <f t="shared" si="2"/>
        <v/>
      </c>
      <c r="AO35" s="12" t="str">
        <f t="shared" si="3"/>
        <v/>
      </c>
      <c r="AP35" s="7" t="str">
        <f>IF($B35="","",MIN(AQ35,COUNTIF(Task_Data!AM17:BQ17,1)))</f>
        <v/>
      </c>
      <c r="AQ35" s="7" t="str">
        <f>IF($B35="","",Task_Data!BT17)</f>
        <v/>
      </c>
      <c r="AR35" s="7" t="str" cm="1">
        <f t="array" ref="AR35">IF($B35="","",ROUND(AO35*60+_xlfn.SWITCH($C35,"High",25,"Medium",18,"Low",12,0)+IFERROR(AQ35/$BA$2,0)*15,1))</f>
        <v/>
      </c>
      <c r="AS35" s="3"/>
      <c r="AT35" s="4" t="str" cm="1">
        <f t="array" ref="AT35">IFERROR(INDEX($B$20:$B$69,SMALL(IF(($B$20:$B$69&lt;&gt;"")*($AN$20:$AN$69&gt;0),ROW($B$20:$B$69)-ROW($B$20)+1),ROW(A1))),"")</f>
        <v>Exercise</v>
      </c>
      <c r="AU35" s="4"/>
      <c r="AV35" s="4"/>
      <c r="AW35" s="4"/>
      <c r="AX35" s="4"/>
      <c r="AY35" s="3"/>
      <c r="AZ35" s="3"/>
    </row>
    <row r="36" spans="1:52" ht="24" customHeight="1">
      <c r="A36" s="3"/>
      <c r="B36" s="11"/>
      <c r="C36" s="19"/>
      <c r="D36" s="19"/>
      <c r="E36" s="19"/>
      <c r="F36" s="19"/>
      <c r="G36" s="11"/>
      <c r="H36" s="16" t="b">
        <v>0</v>
      </c>
      <c r="I36" s="16" t="b">
        <v>0</v>
      </c>
      <c r="J36" s="16" t="b">
        <v>0</v>
      </c>
      <c r="K36" s="16" t="b">
        <v>0</v>
      </c>
      <c r="L36" s="16" t="b">
        <v>0</v>
      </c>
      <c r="M36" s="16" t="b">
        <v>0</v>
      </c>
      <c r="N36" s="16" t="b">
        <v>0</v>
      </c>
      <c r="O36" s="16" t="b">
        <v>0</v>
      </c>
      <c r="P36" s="16" t="b">
        <v>0</v>
      </c>
      <c r="Q36" s="16" t="b">
        <v>0</v>
      </c>
      <c r="R36" s="16" t="b">
        <v>0</v>
      </c>
      <c r="S36" s="16" t="b">
        <v>0</v>
      </c>
      <c r="T36" s="16" t="b">
        <v>0</v>
      </c>
      <c r="U36" s="16" t="b">
        <v>0</v>
      </c>
      <c r="V36" s="16" t="b">
        <v>0</v>
      </c>
      <c r="W36" s="16" t="b">
        <v>0</v>
      </c>
      <c r="X36" s="16" t="b">
        <v>0</v>
      </c>
      <c r="Y36" s="16" t="b">
        <v>0</v>
      </c>
      <c r="Z36" s="16" t="b">
        <v>0</v>
      </c>
      <c r="AA36" s="16" t="b">
        <v>0</v>
      </c>
      <c r="AB36" s="16" t="b">
        <v>0</v>
      </c>
      <c r="AC36" s="16" t="b">
        <v>0</v>
      </c>
      <c r="AD36" s="16" t="b">
        <v>0</v>
      </c>
      <c r="AE36" s="16" t="b">
        <v>0</v>
      </c>
      <c r="AF36" s="16" t="b">
        <v>0</v>
      </c>
      <c r="AG36" s="16" t="b">
        <v>0</v>
      </c>
      <c r="AH36" s="16" t="b">
        <v>0</v>
      </c>
      <c r="AI36" s="16" t="b">
        <v>0</v>
      </c>
      <c r="AJ36" s="16" t="b">
        <v>0</v>
      </c>
      <c r="AK36" s="16" t="b">
        <v>0</v>
      </c>
      <c r="AL36" s="16" t="b">
        <v>0</v>
      </c>
      <c r="AM36" s="7" t="str">
        <f>IF($B36="","",SUM(Task_Data!AM18:BQ18))</f>
        <v/>
      </c>
      <c r="AN36" s="7" t="str">
        <f t="shared" si="2"/>
        <v/>
      </c>
      <c r="AO36" s="12" t="str">
        <f t="shared" si="3"/>
        <v/>
      </c>
      <c r="AP36" s="7" t="str">
        <f>IF($B36="","",MIN(AQ36,COUNTIF(Task_Data!AM18:BQ18,1)))</f>
        <v/>
      </c>
      <c r="AQ36" s="7" t="str">
        <f>IF($B36="","",Task_Data!BT18)</f>
        <v/>
      </c>
      <c r="AR36" s="7" t="str" cm="1">
        <f t="array" ref="AR36">IF($B36="","",ROUND(AO36*60+_xlfn.SWITCH($C36,"High",25,"Medium",18,"Low",12,0)+IFERROR(AQ36/$BA$2,0)*15,1))</f>
        <v/>
      </c>
      <c r="AS36" s="3"/>
      <c r="AT36" s="4" t="str" cm="1">
        <f t="array" ref="AT36">IFERROR(INDEX($B$20:$B$69,SMALL(IF(($B$20:$B$69&lt;&gt;"")*($AN$20:$AN$69&gt;0),ROW($B$20:$B$69)-ROW($B$20)+1),ROW(A2))),"")</f>
        <v>Study</v>
      </c>
      <c r="AU36" s="4"/>
      <c r="AV36" s="4"/>
      <c r="AW36" s="4"/>
      <c r="AX36" s="4"/>
      <c r="AY36" s="3"/>
      <c r="AZ36" s="3"/>
    </row>
    <row r="37" spans="1:52" ht="24" customHeight="1">
      <c r="A37" s="3"/>
      <c r="B37" s="11"/>
      <c r="C37" s="19"/>
      <c r="D37" s="19"/>
      <c r="E37" s="19"/>
      <c r="F37" s="19"/>
      <c r="G37" s="11"/>
      <c r="H37" s="16" t="b">
        <v>0</v>
      </c>
      <c r="I37" s="16" t="b">
        <v>0</v>
      </c>
      <c r="J37" s="16" t="b">
        <v>0</v>
      </c>
      <c r="K37" s="16" t="b">
        <v>0</v>
      </c>
      <c r="L37" s="16" t="b">
        <v>0</v>
      </c>
      <c r="M37" s="16" t="b">
        <v>0</v>
      </c>
      <c r="N37" s="16" t="b">
        <v>0</v>
      </c>
      <c r="O37" s="16" t="b">
        <v>0</v>
      </c>
      <c r="P37" s="16" t="b">
        <v>0</v>
      </c>
      <c r="Q37" s="16" t="b">
        <v>0</v>
      </c>
      <c r="R37" s="16" t="b">
        <v>0</v>
      </c>
      <c r="S37" s="16" t="b">
        <v>0</v>
      </c>
      <c r="T37" s="16" t="b">
        <v>0</v>
      </c>
      <c r="U37" s="16" t="b">
        <v>0</v>
      </c>
      <c r="V37" s="16" t="b">
        <v>0</v>
      </c>
      <c r="W37" s="16" t="b">
        <v>0</v>
      </c>
      <c r="X37" s="16" t="b">
        <v>0</v>
      </c>
      <c r="Y37" s="16" t="b">
        <v>0</v>
      </c>
      <c r="Z37" s="16" t="b">
        <v>0</v>
      </c>
      <c r="AA37" s="16" t="b">
        <v>0</v>
      </c>
      <c r="AB37" s="16" t="b">
        <v>0</v>
      </c>
      <c r="AC37" s="16" t="b">
        <v>0</v>
      </c>
      <c r="AD37" s="16" t="b">
        <v>0</v>
      </c>
      <c r="AE37" s="16" t="b">
        <v>0</v>
      </c>
      <c r="AF37" s="16" t="b">
        <v>0</v>
      </c>
      <c r="AG37" s="16" t="b">
        <v>0</v>
      </c>
      <c r="AH37" s="16" t="b">
        <v>0</v>
      </c>
      <c r="AI37" s="16" t="b">
        <v>0</v>
      </c>
      <c r="AJ37" s="16" t="b">
        <v>0</v>
      </c>
      <c r="AK37" s="16" t="b">
        <v>0</v>
      </c>
      <c r="AL37" s="16" t="b">
        <v>0</v>
      </c>
      <c r="AM37" s="7" t="str">
        <f>IF($B37="","",SUM(Task_Data!AM19:BQ19))</f>
        <v/>
      </c>
      <c r="AN37" s="7" t="str">
        <f t="shared" si="2"/>
        <v/>
      </c>
      <c r="AO37" s="12" t="str">
        <f t="shared" si="3"/>
        <v/>
      </c>
      <c r="AP37" s="7" t="str">
        <f>IF($B37="","",MIN(AQ37,COUNTIF(Task_Data!AM19:BQ19,1)))</f>
        <v/>
      </c>
      <c r="AQ37" s="7" t="str">
        <f>IF($B37="","",Task_Data!BT19)</f>
        <v/>
      </c>
      <c r="AR37" s="7" t="str" cm="1">
        <f t="array" ref="AR37">IF($B37="","",ROUND(AO37*60+_xlfn.SWITCH($C37,"High",25,"Medium",18,"Low",12,0)+IFERROR(AQ37/$BA$2,0)*15,1))</f>
        <v/>
      </c>
      <c r="AS37" s="3"/>
      <c r="AT37" s="4" t="str" cm="1">
        <f t="array" ref="AT37">IFERROR(INDEX($B$20:$B$69,SMALL(IF(($B$20:$B$69&lt;&gt;"")*($AN$20:$AN$69&gt;0),ROW($B$20:$B$69)-ROW($B$20)+1),ROW(A3))),"")</f>
        <v>Read Book</v>
      </c>
      <c r="AU37" s="4"/>
      <c r="AV37" s="4"/>
      <c r="AW37" s="4"/>
      <c r="AX37" s="4"/>
      <c r="AY37" s="3"/>
      <c r="AZ37" s="3"/>
    </row>
    <row r="38" spans="1:52" ht="24" customHeight="1">
      <c r="A38" s="3"/>
      <c r="B38" s="11"/>
      <c r="C38" s="19"/>
      <c r="D38" s="19"/>
      <c r="E38" s="19"/>
      <c r="F38" s="19"/>
      <c r="G38" s="11"/>
      <c r="H38" s="16" t="b">
        <v>0</v>
      </c>
      <c r="I38" s="16" t="b">
        <v>0</v>
      </c>
      <c r="J38" s="16" t="b">
        <v>0</v>
      </c>
      <c r="K38" s="16" t="b">
        <v>0</v>
      </c>
      <c r="L38" s="16" t="b">
        <v>0</v>
      </c>
      <c r="M38" s="16" t="b">
        <v>0</v>
      </c>
      <c r="N38" s="16" t="b">
        <v>0</v>
      </c>
      <c r="O38" s="16" t="b">
        <v>0</v>
      </c>
      <c r="P38" s="16" t="b">
        <v>0</v>
      </c>
      <c r="Q38" s="16" t="b">
        <v>0</v>
      </c>
      <c r="R38" s="16" t="b">
        <v>0</v>
      </c>
      <c r="S38" s="16" t="b">
        <v>0</v>
      </c>
      <c r="T38" s="16" t="b">
        <v>0</v>
      </c>
      <c r="U38" s="16" t="b">
        <v>0</v>
      </c>
      <c r="V38" s="16" t="b">
        <v>0</v>
      </c>
      <c r="W38" s="16" t="b">
        <v>0</v>
      </c>
      <c r="X38" s="16" t="b">
        <v>0</v>
      </c>
      <c r="Y38" s="16" t="b">
        <v>0</v>
      </c>
      <c r="Z38" s="16" t="b">
        <v>0</v>
      </c>
      <c r="AA38" s="16" t="b">
        <v>0</v>
      </c>
      <c r="AB38" s="16" t="b">
        <v>0</v>
      </c>
      <c r="AC38" s="16" t="b">
        <v>0</v>
      </c>
      <c r="AD38" s="16" t="b">
        <v>0</v>
      </c>
      <c r="AE38" s="16" t="b">
        <v>0</v>
      </c>
      <c r="AF38" s="16" t="b">
        <v>0</v>
      </c>
      <c r="AG38" s="16" t="b">
        <v>0</v>
      </c>
      <c r="AH38" s="16" t="b">
        <v>0</v>
      </c>
      <c r="AI38" s="16" t="b">
        <v>0</v>
      </c>
      <c r="AJ38" s="16" t="b">
        <v>0</v>
      </c>
      <c r="AK38" s="16" t="b">
        <v>0</v>
      </c>
      <c r="AL38" s="16" t="b">
        <v>0</v>
      </c>
      <c r="AM38" s="7" t="str">
        <f>IF($B38="","",SUM(Task_Data!AM20:BQ20))</f>
        <v/>
      </c>
      <c r="AN38" s="7" t="str">
        <f t="shared" si="2"/>
        <v/>
      </c>
      <c r="AO38" s="12" t="str">
        <f t="shared" si="3"/>
        <v/>
      </c>
      <c r="AP38" s="7" t="str">
        <f>IF($B38="","",MIN(AQ38,COUNTIF(Task_Data!AM20:BQ20,1)))</f>
        <v/>
      </c>
      <c r="AQ38" s="7" t="str">
        <f>IF($B38="","",Task_Data!BT20)</f>
        <v/>
      </c>
      <c r="AR38" s="7" t="str" cm="1">
        <f t="array" ref="AR38">IF($B38="","",ROUND(AO38*60+_xlfn.SWITCH($C38,"High",25,"Medium",18,"Low",12,0)+IFERROR(AQ38/$BA$2,0)*15,1))</f>
        <v/>
      </c>
      <c r="AS38" s="3"/>
      <c r="AT38" s="4" t="str" cm="1">
        <f t="array" ref="AT38">IFERROR(INDEX($B$20:$B$69,SMALL(IF(($B$20:$B$69&lt;&gt;"")*($AN$20:$AN$69&gt;0),ROW($B$20:$B$69)-ROW($B$20)+1),ROW(A4))),"")</f>
        <v>Call Family</v>
      </c>
      <c r="AU38" s="4"/>
      <c r="AV38" s="4"/>
      <c r="AW38" s="4"/>
      <c r="AX38" s="4"/>
      <c r="AY38" s="3"/>
      <c r="AZ38" s="3"/>
    </row>
    <row r="39" spans="1:52" ht="24" customHeight="1">
      <c r="A39" s="3"/>
      <c r="B39" s="11"/>
      <c r="C39" s="19"/>
      <c r="D39" s="19"/>
      <c r="E39" s="19"/>
      <c r="F39" s="19"/>
      <c r="G39" s="11"/>
      <c r="H39" s="16" t="b">
        <v>0</v>
      </c>
      <c r="I39" s="16" t="b">
        <v>0</v>
      </c>
      <c r="J39" s="16" t="b">
        <v>0</v>
      </c>
      <c r="K39" s="16" t="b">
        <v>0</v>
      </c>
      <c r="L39" s="16" t="b">
        <v>0</v>
      </c>
      <c r="M39" s="16" t="b">
        <v>0</v>
      </c>
      <c r="N39" s="16" t="b">
        <v>0</v>
      </c>
      <c r="O39" s="16" t="b">
        <v>0</v>
      </c>
      <c r="P39" s="16" t="b">
        <v>0</v>
      </c>
      <c r="Q39" s="16" t="b">
        <v>0</v>
      </c>
      <c r="R39" s="16" t="b">
        <v>0</v>
      </c>
      <c r="S39" s="16" t="b">
        <v>0</v>
      </c>
      <c r="T39" s="16" t="b">
        <v>0</v>
      </c>
      <c r="U39" s="16" t="b">
        <v>0</v>
      </c>
      <c r="V39" s="16" t="b">
        <v>0</v>
      </c>
      <c r="W39" s="16" t="b">
        <v>0</v>
      </c>
      <c r="X39" s="16" t="b">
        <v>0</v>
      </c>
      <c r="Y39" s="16" t="b">
        <v>0</v>
      </c>
      <c r="Z39" s="16" t="b">
        <v>0</v>
      </c>
      <c r="AA39" s="16" t="b">
        <v>0</v>
      </c>
      <c r="AB39" s="16" t="b">
        <v>0</v>
      </c>
      <c r="AC39" s="16" t="b">
        <v>0</v>
      </c>
      <c r="AD39" s="16" t="b">
        <v>0</v>
      </c>
      <c r="AE39" s="16" t="b">
        <v>0</v>
      </c>
      <c r="AF39" s="16" t="b">
        <v>0</v>
      </c>
      <c r="AG39" s="16" t="b">
        <v>0</v>
      </c>
      <c r="AH39" s="16" t="b">
        <v>0</v>
      </c>
      <c r="AI39" s="16" t="b">
        <v>0</v>
      </c>
      <c r="AJ39" s="16" t="b">
        <v>0</v>
      </c>
      <c r="AK39" s="16" t="b">
        <v>0</v>
      </c>
      <c r="AL39" s="16" t="b">
        <v>0</v>
      </c>
      <c r="AM39" s="7" t="str">
        <f>IF($B39="","",SUM(Task_Data!AM21:BQ21))</f>
        <v/>
      </c>
      <c r="AN39" s="7" t="str">
        <f t="shared" si="2"/>
        <v/>
      </c>
      <c r="AO39" s="12" t="str">
        <f t="shared" si="3"/>
        <v/>
      </c>
      <c r="AP39" s="7" t="str">
        <f>IF($B39="","",MIN(AQ39,COUNTIF(Task_Data!AM21:BQ21,1)))</f>
        <v/>
      </c>
      <c r="AQ39" s="7" t="str">
        <f>IF($B39="","",Task_Data!BT21)</f>
        <v/>
      </c>
      <c r="AR39" s="7" t="str" cm="1">
        <f t="array" ref="AR39">IF($B39="","",ROUND(AO39*60+_xlfn.SWITCH($C39,"High",25,"Medium",18,"Low",12,0)+IFERROR(AQ39/$BA$2,0)*15,1))</f>
        <v/>
      </c>
      <c r="AS39" s="3"/>
      <c r="AT39" s="4" t="str" cm="1">
        <f t="array" ref="AT39">IFERROR(INDEX($B$20:$B$69,SMALL(IF(($B$20:$B$69&lt;&gt;"")*($AN$20:$AN$69&gt;0),ROW($B$20:$B$69)-ROW($B$20)+1),ROW(A5))),"")</f>
        <v/>
      </c>
      <c r="AU39" s="4"/>
      <c r="AV39" s="4"/>
      <c r="AW39" s="4"/>
      <c r="AX39" s="4"/>
      <c r="AY39" s="3"/>
      <c r="AZ39" s="3"/>
    </row>
    <row r="40" spans="1:52" ht="24" customHeight="1">
      <c r="A40" s="3"/>
      <c r="B40" s="11"/>
      <c r="C40" s="19"/>
      <c r="D40" s="19"/>
      <c r="E40" s="19"/>
      <c r="F40" s="19"/>
      <c r="G40" s="11"/>
      <c r="H40" s="16" t="b">
        <v>0</v>
      </c>
      <c r="I40" s="16" t="b">
        <v>0</v>
      </c>
      <c r="J40" s="16" t="b">
        <v>0</v>
      </c>
      <c r="K40" s="16" t="b">
        <v>0</v>
      </c>
      <c r="L40" s="16" t="b">
        <v>0</v>
      </c>
      <c r="M40" s="16" t="b">
        <v>0</v>
      </c>
      <c r="N40" s="16" t="b">
        <v>0</v>
      </c>
      <c r="O40" s="16" t="b">
        <v>0</v>
      </c>
      <c r="P40" s="16" t="b">
        <v>0</v>
      </c>
      <c r="Q40" s="16" t="b">
        <v>0</v>
      </c>
      <c r="R40" s="16" t="b">
        <v>0</v>
      </c>
      <c r="S40" s="16" t="b">
        <v>0</v>
      </c>
      <c r="T40" s="16" t="b">
        <v>0</v>
      </c>
      <c r="U40" s="16" t="b">
        <v>0</v>
      </c>
      <c r="V40" s="16" t="b">
        <v>0</v>
      </c>
      <c r="W40" s="16" t="b">
        <v>0</v>
      </c>
      <c r="X40" s="16" t="b">
        <v>0</v>
      </c>
      <c r="Y40" s="16" t="b">
        <v>0</v>
      </c>
      <c r="Z40" s="16" t="b">
        <v>0</v>
      </c>
      <c r="AA40" s="16" t="b">
        <v>0</v>
      </c>
      <c r="AB40" s="16" t="b">
        <v>0</v>
      </c>
      <c r="AC40" s="16" t="b">
        <v>0</v>
      </c>
      <c r="AD40" s="16" t="b">
        <v>0</v>
      </c>
      <c r="AE40" s="16" t="b">
        <v>0</v>
      </c>
      <c r="AF40" s="16" t="b">
        <v>0</v>
      </c>
      <c r="AG40" s="16" t="b">
        <v>0</v>
      </c>
      <c r="AH40" s="16" t="b">
        <v>0</v>
      </c>
      <c r="AI40" s="16" t="b">
        <v>0</v>
      </c>
      <c r="AJ40" s="16" t="b">
        <v>0</v>
      </c>
      <c r="AK40" s="16" t="b">
        <v>0</v>
      </c>
      <c r="AL40" s="16" t="b">
        <v>0</v>
      </c>
      <c r="AM40" s="7" t="str">
        <f>IF($B40="","",SUM(Task_Data!AM22:BQ22))</f>
        <v/>
      </c>
      <c r="AN40" s="7" t="str">
        <f t="shared" si="2"/>
        <v/>
      </c>
      <c r="AO40" s="12" t="str">
        <f t="shared" si="3"/>
        <v/>
      </c>
      <c r="AP40" s="7" t="str">
        <f>IF($B40="","",MIN(AQ40,COUNTIF(Task_Data!AM22:BQ22,1)))</f>
        <v/>
      </c>
      <c r="AQ40" s="7" t="str">
        <f>IF($B40="","",Task_Data!BT22)</f>
        <v/>
      </c>
      <c r="AR40" s="7" t="str" cm="1">
        <f t="array" ref="AR40">IF($B40="","",ROUND(AO40*60+_xlfn.SWITCH($C40,"High",25,"Medium",18,"Low",12,0)+IFERROR(AQ40/$BA$2,0)*15,1))</f>
        <v/>
      </c>
      <c r="AS40" s="3"/>
      <c r="AT40" s="4" t="str" cm="1">
        <f t="array" ref="AT40">IFERROR(INDEX($B$20:$B$69,SMALL(IF(($B$20:$B$69&lt;&gt;"")*($AN$20:$AN$69&gt;0),ROW($B$20:$B$69)-ROW($B$20)+1),ROW(A6))),"")</f>
        <v/>
      </c>
      <c r="AU40" s="4"/>
      <c r="AV40" s="4"/>
      <c r="AW40" s="4"/>
      <c r="AX40" s="4"/>
      <c r="AY40" s="3"/>
      <c r="AZ40" s="3"/>
    </row>
    <row r="41" spans="1:52" ht="24" customHeight="1">
      <c r="A41" s="3"/>
      <c r="B41" s="11"/>
      <c r="C41" s="19"/>
      <c r="D41" s="19"/>
      <c r="E41" s="19"/>
      <c r="F41" s="19"/>
      <c r="G41" s="11"/>
      <c r="H41" s="16" t="b">
        <v>0</v>
      </c>
      <c r="I41" s="16" t="b">
        <v>0</v>
      </c>
      <c r="J41" s="16" t="b">
        <v>0</v>
      </c>
      <c r="K41" s="16" t="b">
        <v>0</v>
      </c>
      <c r="L41" s="16" t="b">
        <v>0</v>
      </c>
      <c r="M41" s="16" t="b">
        <v>0</v>
      </c>
      <c r="N41" s="16" t="b">
        <v>0</v>
      </c>
      <c r="O41" s="16" t="b">
        <v>0</v>
      </c>
      <c r="P41" s="16" t="b">
        <v>0</v>
      </c>
      <c r="Q41" s="16" t="b">
        <v>0</v>
      </c>
      <c r="R41" s="16" t="b">
        <v>0</v>
      </c>
      <c r="S41" s="16" t="b">
        <v>0</v>
      </c>
      <c r="T41" s="16" t="b">
        <v>0</v>
      </c>
      <c r="U41" s="16" t="b">
        <v>0</v>
      </c>
      <c r="V41" s="16" t="b">
        <v>0</v>
      </c>
      <c r="W41" s="16" t="b">
        <v>0</v>
      </c>
      <c r="X41" s="16" t="b">
        <v>0</v>
      </c>
      <c r="Y41" s="16" t="b">
        <v>0</v>
      </c>
      <c r="Z41" s="16" t="b">
        <v>0</v>
      </c>
      <c r="AA41" s="16" t="b">
        <v>0</v>
      </c>
      <c r="AB41" s="16" t="b">
        <v>0</v>
      </c>
      <c r="AC41" s="16" t="b">
        <v>0</v>
      </c>
      <c r="AD41" s="16" t="b">
        <v>0</v>
      </c>
      <c r="AE41" s="16" t="b">
        <v>0</v>
      </c>
      <c r="AF41" s="16" t="b">
        <v>0</v>
      </c>
      <c r="AG41" s="16" t="b">
        <v>0</v>
      </c>
      <c r="AH41" s="16" t="b">
        <v>0</v>
      </c>
      <c r="AI41" s="16" t="b">
        <v>0</v>
      </c>
      <c r="AJ41" s="16" t="b">
        <v>0</v>
      </c>
      <c r="AK41" s="16" t="b">
        <v>0</v>
      </c>
      <c r="AL41" s="16" t="b">
        <v>0</v>
      </c>
      <c r="AM41" s="7" t="str">
        <f>IF($B41="","",SUM(Task_Data!AM23:BQ23))</f>
        <v/>
      </c>
      <c r="AN41" s="7" t="str">
        <f t="shared" si="2"/>
        <v/>
      </c>
      <c r="AO41" s="12" t="str">
        <f t="shared" si="3"/>
        <v/>
      </c>
      <c r="AP41" s="7" t="str">
        <f>IF($B41="","",MIN(AQ41,COUNTIF(Task_Data!AM23:BQ23,1)))</f>
        <v/>
      </c>
      <c r="AQ41" s="7" t="str">
        <f>IF($B41="","",Task_Data!BT23)</f>
        <v/>
      </c>
      <c r="AR41" s="7" t="str" cm="1">
        <f t="array" ref="AR41">IF($B41="","",ROUND(AO41*60+_xlfn.SWITCH($C41,"High",25,"Medium",18,"Low",12,0)+IFERROR(AQ41/$BA$2,0)*15,1))</f>
        <v/>
      </c>
      <c r="AS41" s="3"/>
      <c r="AT41" s="4" t="str" cm="1">
        <f t="array" ref="AT41">IFERROR(INDEX($B$20:$B$69,SMALL(IF(($B$20:$B$69&lt;&gt;"")*($AN$20:$AN$69&gt;0),ROW($B$20:$B$69)-ROW($B$20)+1),ROW(A7))),"")</f>
        <v/>
      </c>
      <c r="AU41" s="4"/>
      <c r="AV41" s="4"/>
      <c r="AW41" s="4"/>
      <c r="AX41" s="4"/>
      <c r="AY41" s="3"/>
      <c r="AZ41" s="3"/>
    </row>
    <row r="42" spans="1:52" ht="24" customHeight="1">
      <c r="A42" s="3"/>
      <c r="B42" s="11"/>
      <c r="C42" s="19"/>
      <c r="D42" s="19"/>
      <c r="E42" s="19"/>
      <c r="F42" s="19"/>
      <c r="G42" s="11"/>
      <c r="H42" s="16" t="b">
        <v>0</v>
      </c>
      <c r="I42" s="16" t="b">
        <v>0</v>
      </c>
      <c r="J42" s="16" t="b">
        <v>0</v>
      </c>
      <c r="K42" s="16" t="b">
        <v>0</v>
      </c>
      <c r="L42" s="16" t="b">
        <v>0</v>
      </c>
      <c r="M42" s="16" t="b">
        <v>0</v>
      </c>
      <c r="N42" s="16" t="b">
        <v>0</v>
      </c>
      <c r="O42" s="16" t="b">
        <v>0</v>
      </c>
      <c r="P42" s="16" t="b">
        <v>0</v>
      </c>
      <c r="Q42" s="16" t="b">
        <v>0</v>
      </c>
      <c r="R42" s="16" t="b">
        <v>0</v>
      </c>
      <c r="S42" s="16" t="b">
        <v>0</v>
      </c>
      <c r="T42" s="16" t="b">
        <v>0</v>
      </c>
      <c r="U42" s="16" t="b">
        <v>0</v>
      </c>
      <c r="V42" s="16" t="b">
        <v>0</v>
      </c>
      <c r="W42" s="16" t="b">
        <v>0</v>
      </c>
      <c r="X42" s="16" t="b">
        <v>0</v>
      </c>
      <c r="Y42" s="16" t="b">
        <v>0</v>
      </c>
      <c r="Z42" s="16" t="b">
        <v>0</v>
      </c>
      <c r="AA42" s="16" t="b">
        <v>0</v>
      </c>
      <c r="AB42" s="16" t="b">
        <v>0</v>
      </c>
      <c r="AC42" s="16" t="b">
        <v>0</v>
      </c>
      <c r="AD42" s="16" t="b">
        <v>0</v>
      </c>
      <c r="AE42" s="16" t="b">
        <v>0</v>
      </c>
      <c r="AF42" s="16" t="b">
        <v>0</v>
      </c>
      <c r="AG42" s="16" t="b">
        <v>0</v>
      </c>
      <c r="AH42" s="16" t="b">
        <v>0</v>
      </c>
      <c r="AI42" s="16" t="b">
        <v>0</v>
      </c>
      <c r="AJ42" s="16" t="b">
        <v>0</v>
      </c>
      <c r="AK42" s="16" t="b">
        <v>0</v>
      </c>
      <c r="AL42" s="16" t="b">
        <v>0</v>
      </c>
      <c r="AM42" s="7" t="str">
        <f>IF($B42="","",SUM(Task_Data!AM24:BQ24))</f>
        <v/>
      </c>
      <c r="AN42" s="7" t="str">
        <f t="shared" si="2"/>
        <v/>
      </c>
      <c r="AO42" s="12" t="str">
        <f t="shared" si="3"/>
        <v/>
      </c>
      <c r="AP42" s="7" t="str">
        <f>IF($B42="","",MIN(AQ42,COUNTIF(Task_Data!AM24:BQ24,1)))</f>
        <v/>
      </c>
      <c r="AQ42" s="7" t="str">
        <f>IF($B42="","",Task_Data!BT24)</f>
        <v/>
      </c>
      <c r="AR42" s="7" t="str" cm="1">
        <f t="array" ref="AR42">IF($B42="","",ROUND(AO42*60+_xlfn.SWITCH($C42,"High",25,"Medium",18,"Low",12,0)+IFERROR(AQ42/$BA$2,0)*15,1))</f>
        <v/>
      </c>
      <c r="AS42" s="3"/>
      <c r="AT42" s="4" t="str" cm="1">
        <f t="array" ref="AT42">IFERROR(INDEX($B$20:$B$69,SMALL(IF(($B$20:$B$69&lt;&gt;"")*($AN$20:$AN$69&gt;0),ROW($B$20:$B$69)-ROW($B$20)+1),ROW(A8))),"")</f>
        <v/>
      </c>
      <c r="AU42" s="4"/>
      <c r="AV42" s="4"/>
      <c r="AW42" s="4"/>
      <c r="AX42" s="4"/>
      <c r="AY42" s="3"/>
      <c r="AZ42" s="3"/>
    </row>
    <row r="43" spans="1:52" ht="24" customHeight="1">
      <c r="A43" s="3"/>
      <c r="B43" s="11"/>
      <c r="C43" s="19"/>
      <c r="D43" s="19"/>
      <c r="E43" s="19"/>
      <c r="F43" s="19"/>
      <c r="G43" s="11"/>
      <c r="H43" s="16" t="b">
        <v>0</v>
      </c>
      <c r="I43" s="16" t="b">
        <v>0</v>
      </c>
      <c r="J43" s="16" t="b">
        <v>0</v>
      </c>
      <c r="K43" s="16" t="b">
        <v>0</v>
      </c>
      <c r="L43" s="16" t="b">
        <v>0</v>
      </c>
      <c r="M43" s="16" t="b">
        <v>0</v>
      </c>
      <c r="N43" s="16" t="b">
        <v>0</v>
      </c>
      <c r="O43" s="16" t="b">
        <v>0</v>
      </c>
      <c r="P43" s="16" t="b">
        <v>0</v>
      </c>
      <c r="Q43" s="16" t="b">
        <v>0</v>
      </c>
      <c r="R43" s="16" t="b">
        <v>0</v>
      </c>
      <c r="S43" s="16" t="b">
        <v>0</v>
      </c>
      <c r="T43" s="16" t="b">
        <v>0</v>
      </c>
      <c r="U43" s="16" t="b">
        <v>0</v>
      </c>
      <c r="V43" s="16" t="b">
        <v>0</v>
      </c>
      <c r="W43" s="16" t="b">
        <v>0</v>
      </c>
      <c r="X43" s="16" t="b">
        <v>0</v>
      </c>
      <c r="Y43" s="16" t="b">
        <v>0</v>
      </c>
      <c r="Z43" s="16" t="b">
        <v>0</v>
      </c>
      <c r="AA43" s="16" t="b">
        <v>0</v>
      </c>
      <c r="AB43" s="16" t="b">
        <v>0</v>
      </c>
      <c r="AC43" s="16" t="b">
        <v>0</v>
      </c>
      <c r="AD43" s="16" t="b">
        <v>0</v>
      </c>
      <c r="AE43" s="16" t="b">
        <v>0</v>
      </c>
      <c r="AF43" s="16" t="b">
        <v>0</v>
      </c>
      <c r="AG43" s="16" t="b">
        <v>0</v>
      </c>
      <c r="AH43" s="16" t="b">
        <v>0</v>
      </c>
      <c r="AI43" s="16" t="b">
        <v>0</v>
      </c>
      <c r="AJ43" s="16" t="b">
        <v>0</v>
      </c>
      <c r="AK43" s="16" t="b">
        <v>0</v>
      </c>
      <c r="AL43" s="16" t="b">
        <v>0</v>
      </c>
      <c r="AM43" s="7" t="str">
        <f>IF($B43="","",SUM(Task_Data!AM25:BQ25))</f>
        <v/>
      </c>
      <c r="AN43" s="7" t="str">
        <f t="shared" si="2"/>
        <v/>
      </c>
      <c r="AO43" s="12" t="str">
        <f t="shared" si="3"/>
        <v/>
      </c>
      <c r="AP43" s="7" t="str">
        <f>IF($B43="","",MIN(AQ43,COUNTIF(Task_Data!AM25:BQ25,1)))</f>
        <v/>
      </c>
      <c r="AQ43" s="7" t="str">
        <f>IF($B43="","",Task_Data!BT25)</f>
        <v/>
      </c>
      <c r="AR43" s="7" t="str" cm="1">
        <f t="array" ref="AR43">IF($B43="","",ROUND(AO43*60+_xlfn.SWITCH($C43,"High",25,"Medium",18,"Low",12,0)+IFERROR(AQ43/$BA$2,0)*15,1))</f>
        <v/>
      </c>
      <c r="AS43" s="3"/>
      <c r="AT43" s="4" t="str" cm="1">
        <f t="array" ref="AT43">IFERROR(INDEX($B$20:$B$69,SMALL(IF(($B$20:$B$69&lt;&gt;"")*($AN$20:$AN$69&gt;0),ROW($B$20:$B$69)-ROW($B$20)+1),ROW(A9))),"")</f>
        <v/>
      </c>
      <c r="AU43" s="4"/>
      <c r="AV43" s="4"/>
      <c r="AW43" s="4"/>
      <c r="AX43" s="4"/>
      <c r="AY43" s="3"/>
      <c r="AZ43" s="3"/>
    </row>
    <row r="44" spans="1:52" ht="24" customHeight="1">
      <c r="A44" s="3"/>
      <c r="B44" s="11"/>
      <c r="C44" s="19"/>
      <c r="D44" s="19"/>
      <c r="E44" s="19"/>
      <c r="F44" s="19"/>
      <c r="G44" s="11"/>
      <c r="H44" s="16" t="b">
        <v>0</v>
      </c>
      <c r="I44" s="16" t="b">
        <v>0</v>
      </c>
      <c r="J44" s="16" t="b">
        <v>0</v>
      </c>
      <c r="K44" s="16" t="b">
        <v>0</v>
      </c>
      <c r="L44" s="16" t="b">
        <v>0</v>
      </c>
      <c r="M44" s="16" t="b">
        <v>0</v>
      </c>
      <c r="N44" s="16" t="b">
        <v>0</v>
      </c>
      <c r="O44" s="16" t="b">
        <v>0</v>
      </c>
      <c r="P44" s="16" t="b">
        <v>0</v>
      </c>
      <c r="Q44" s="16" t="b">
        <v>0</v>
      </c>
      <c r="R44" s="16" t="b">
        <v>0</v>
      </c>
      <c r="S44" s="16" t="b">
        <v>0</v>
      </c>
      <c r="T44" s="16" t="b">
        <v>0</v>
      </c>
      <c r="U44" s="16" t="b">
        <v>0</v>
      </c>
      <c r="V44" s="16" t="b">
        <v>0</v>
      </c>
      <c r="W44" s="16" t="b">
        <v>0</v>
      </c>
      <c r="X44" s="16" t="b">
        <v>0</v>
      </c>
      <c r="Y44" s="16" t="b">
        <v>0</v>
      </c>
      <c r="Z44" s="16" t="b">
        <v>0</v>
      </c>
      <c r="AA44" s="16" t="b">
        <v>0</v>
      </c>
      <c r="AB44" s="16" t="b">
        <v>0</v>
      </c>
      <c r="AC44" s="16" t="b">
        <v>0</v>
      </c>
      <c r="AD44" s="16" t="b">
        <v>0</v>
      </c>
      <c r="AE44" s="16" t="b">
        <v>0</v>
      </c>
      <c r="AF44" s="16" t="b">
        <v>0</v>
      </c>
      <c r="AG44" s="16" t="b">
        <v>0</v>
      </c>
      <c r="AH44" s="16" t="b">
        <v>0</v>
      </c>
      <c r="AI44" s="16" t="b">
        <v>0</v>
      </c>
      <c r="AJ44" s="16" t="b">
        <v>0</v>
      </c>
      <c r="AK44" s="16" t="b">
        <v>0</v>
      </c>
      <c r="AL44" s="16" t="b">
        <v>0</v>
      </c>
      <c r="AM44" s="7" t="str">
        <f>IF($B44="","",SUM(Task_Data!AM26:BQ26))</f>
        <v/>
      </c>
      <c r="AN44" s="7" t="str">
        <f t="shared" si="2"/>
        <v/>
      </c>
      <c r="AO44" s="12" t="str">
        <f t="shared" si="3"/>
        <v/>
      </c>
      <c r="AP44" s="7" t="str">
        <f>IF($B44="","",MIN(AQ44,COUNTIF(Task_Data!AM26:BQ26,1)))</f>
        <v/>
      </c>
      <c r="AQ44" s="7" t="str">
        <f>IF($B44="","",Task_Data!BT26)</f>
        <v/>
      </c>
      <c r="AR44" s="7" t="str" cm="1">
        <f t="array" ref="AR44">IF($B44="","",ROUND(AO44*60+_xlfn.SWITCH($C44,"High",25,"Medium",18,"Low",12,0)+IFERROR(AQ44/$BA$2,0)*15,1))</f>
        <v/>
      </c>
      <c r="AS44" s="3"/>
      <c r="AT44" s="4" t="str" cm="1">
        <f t="array" ref="AT44">IFERROR(INDEX($B$20:$B$69,SMALL(IF(($B$20:$B$69&lt;&gt;"")*($AN$20:$AN$69&gt;0),ROW($B$20:$B$69)-ROW($B$20)+1),ROW(A10))),"")</f>
        <v/>
      </c>
      <c r="AU44" s="4"/>
      <c r="AV44" s="4"/>
      <c r="AW44" s="4"/>
      <c r="AX44" s="4"/>
      <c r="AY44" s="3"/>
      <c r="AZ44" s="3"/>
    </row>
    <row r="45" spans="1:52" ht="24" customHeight="1">
      <c r="A45" s="3"/>
      <c r="B45" s="11"/>
      <c r="C45" s="19"/>
      <c r="D45" s="19"/>
      <c r="E45" s="19"/>
      <c r="F45" s="19"/>
      <c r="G45" s="11"/>
      <c r="H45" s="16" t="b">
        <v>0</v>
      </c>
      <c r="I45" s="16" t="b">
        <v>0</v>
      </c>
      <c r="J45" s="16" t="b">
        <v>0</v>
      </c>
      <c r="K45" s="16" t="b">
        <v>0</v>
      </c>
      <c r="L45" s="16" t="b">
        <v>0</v>
      </c>
      <c r="M45" s="16" t="b">
        <v>0</v>
      </c>
      <c r="N45" s="16" t="b">
        <v>0</v>
      </c>
      <c r="O45" s="16" t="b">
        <v>0</v>
      </c>
      <c r="P45" s="16" t="b">
        <v>0</v>
      </c>
      <c r="Q45" s="16" t="b">
        <v>0</v>
      </c>
      <c r="R45" s="16" t="b">
        <v>0</v>
      </c>
      <c r="S45" s="16" t="b">
        <v>0</v>
      </c>
      <c r="T45" s="16" t="b">
        <v>0</v>
      </c>
      <c r="U45" s="16" t="b">
        <v>0</v>
      </c>
      <c r="V45" s="16" t="b">
        <v>0</v>
      </c>
      <c r="W45" s="16" t="b">
        <v>0</v>
      </c>
      <c r="X45" s="16" t="b">
        <v>0</v>
      </c>
      <c r="Y45" s="16" t="b">
        <v>0</v>
      </c>
      <c r="Z45" s="16" t="b">
        <v>0</v>
      </c>
      <c r="AA45" s="16" t="b">
        <v>0</v>
      </c>
      <c r="AB45" s="16" t="b">
        <v>0</v>
      </c>
      <c r="AC45" s="16" t="b">
        <v>0</v>
      </c>
      <c r="AD45" s="16" t="b">
        <v>0</v>
      </c>
      <c r="AE45" s="16" t="b">
        <v>0</v>
      </c>
      <c r="AF45" s="16" t="b">
        <v>0</v>
      </c>
      <c r="AG45" s="16" t="b">
        <v>0</v>
      </c>
      <c r="AH45" s="16" t="b">
        <v>0</v>
      </c>
      <c r="AI45" s="16" t="b">
        <v>0</v>
      </c>
      <c r="AJ45" s="16" t="b">
        <v>0</v>
      </c>
      <c r="AK45" s="16" t="b">
        <v>0</v>
      </c>
      <c r="AL45" s="16" t="b">
        <v>0</v>
      </c>
      <c r="AM45" s="7" t="str">
        <f>IF($B45="","",SUM(Task_Data!AM27:BQ27))</f>
        <v/>
      </c>
      <c r="AN45" s="7" t="str">
        <f t="shared" si="2"/>
        <v/>
      </c>
      <c r="AO45" s="12" t="str">
        <f t="shared" si="3"/>
        <v/>
      </c>
      <c r="AP45" s="7" t="str">
        <f>IF($B45="","",MIN(AQ45,COUNTIF(Task_Data!AM27:BQ27,1)))</f>
        <v/>
      </c>
      <c r="AQ45" s="7" t="str">
        <f>IF($B45="","",Task_Data!BT27)</f>
        <v/>
      </c>
      <c r="AR45" s="7" t="str" cm="1">
        <f t="array" ref="AR45">IF($B45="","",ROUND(AO45*60+_xlfn.SWITCH($C45,"High",25,"Medium",18,"Low",12,0)+IFERROR(AQ45/$BA$2,0)*15,1))</f>
        <v/>
      </c>
      <c r="AS45" s="3"/>
      <c r="AT45" s="4"/>
      <c r="AU45" s="4"/>
      <c r="AV45" s="4"/>
      <c r="AW45" s="4"/>
      <c r="AX45" s="4"/>
      <c r="AY45" s="3"/>
      <c r="AZ45" s="3"/>
    </row>
    <row r="46" spans="1:52" ht="24" customHeight="1">
      <c r="A46" s="3"/>
      <c r="B46" s="11"/>
      <c r="C46" s="19"/>
      <c r="D46" s="19"/>
      <c r="E46" s="19"/>
      <c r="F46" s="19"/>
      <c r="G46" s="11"/>
      <c r="H46" s="16" t="b">
        <v>0</v>
      </c>
      <c r="I46" s="16" t="b">
        <v>0</v>
      </c>
      <c r="J46" s="16" t="b">
        <v>0</v>
      </c>
      <c r="K46" s="16" t="b">
        <v>0</v>
      </c>
      <c r="L46" s="16" t="b">
        <v>0</v>
      </c>
      <c r="M46" s="16" t="b">
        <v>0</v>
      </c>
      <c r="N46" s="16" t="b">
        <v>0</v>
      </c>
      <c r="O46" s="16" t="b">
        <v>0</v>
      </c>
      <c r="P46" s="16" t="b">
        <v>0</v>
      </c>
      <c r="Q46" s="16" t="b">
        <v>0</v>
      </c>
      <c r="R46" s="16" t="b">
        <v>0</v>
      </c>
      <c r="S46" s="16" t="b">
        <v>0</v>
      </c>
      <c r="T46" s="16" t="b">
        <v>0</v>
      </c>
      <c r="U46" s="16" t="b">
        <v>0</v>
      </c>
      <c r="V46" s="16" t="b">
        <v>0</v>
      </c>
      <c r="W46" s="16" t="b">
        <v>0</v>
      </c>
      <c r="X46" s="16" t="b">
        <v>0</v>
      </c>
      <c r="Y46" s="16" t="b">
        <v>0</v>
      </c>
      <c r="Z46" s="16" t="b">
        <v>0</v>
      </c>
      <c r="AA46" s="16" t="b">
        <v>0</v>
      </c>
      <c r="AB46" s="16" t="b">
        <v>0</v>
      </c>
      <c r="AC46" s="16" t="b">
        <v>0</v>
      </c>
      <c r="AD46" s="16" t="b">
        <v>0</v>
      </c>
      <c r="AE46" s="16" t="b">
        <v>0</v>
      </c>
      <c r="AF46" s="16" t="b">
        <v>0</v>
      </c>
      <c r="AG46" s="16" t="b">
        <v>0</v>
      </c>
      <c r="AH46" s="16" t="b">
        <v>0</v>
      </c>
      <c r="AI46" s="16" t="b">
        <v>0</v>
      </c>
      <c r="AJ46" s="16" t="b">
        <v>0</v>
      </c>
      <c r="AK46" s="16" t="b">
        <v>0</v>
      </c>
      <c r="AL46" s="16" t="b">
        <v>0</v>
      </c>
      <c r="AM46" s="7" t="str">
        <f>IF($B46="","",SUM(Task_Data!AM28:BQ28))</f>
        <v/>
      </c>
      <c r="AN46" s="7" t="str">
        <f t="shared" si="2"/>
        <v/>
      </c>
      <c r="AO46" s="12" t="str">
        <f t="shared" si="3"/>
        <v/>
      </c>
      <c r="AP46" s="7" t="str">
        <f>IF($B46="","",MIN(AQ46,COUNTIF(Task_Data!AM28:BQ28,1)))</f>
        <v/>
      </c>
      <c r="AQ46" s="7" t="str">
        <f>IF($B46="","",Task_Data!BT28)</f>
        <v/>
      </c>
      <c r="AR46" s="7" t="str" cm="1">
        <f t="array" ref="AR46">IF($B46="","",ROUND(AO46*60+_xlfn.SWITCH($C46,"High",25,"Medium",18,"Low",12,0)+IFERROR(AQ46/$BA$2,0)*15,1))</f>
        <v/>
      </c>
      <c r="AS46" s="3"/>
      <c r="AT46" s="3"/>
      <c r="AU46" s="3"/>
      <c r="AV46" s="3"/>
      <c r="AW46" s="3"/>
      <c r="AX46" s="3"/>
      <c r="AY46" s="3"/>
      <c r="AZ46" s="3"/>
    </row>
    <row r="47" spans="1:52" ht="24" customHeight="1">
      <c r="A47" s="3"/>
      <c r="B47" s="11"/>
      <c r="C47" s="19"/>
      <c r="D47" s="19"/>
      <c r="E47" s="19"/>
      <c r="F47" s="19"/>
      <c r="G47" s="11"/>
      <c r="H47" s="16" t="b">
        <v>0</v>
      </c>
      <c r="I47" s="16" t="b">
        <v>0</v>
      </c>
      <c r="J47" s="16" t="b">
        <v>0</v>
      </c>
      <c r="K47" s="16" t="b">
        <v>0</v>
      </c>
      <c r="L47" s="16" t="b">
        <v>0</v>
      </c>
      <c r="M47" s="16" t="b">
        <v>0</v>
      </c>
      <c r="N47" s="16" t="b">
        <v>0</v>
      </c>
      <c r="O47" s="16" t="b">
        <v>0</v>
      </c>
      <c r="P47" s="16" t="b">
        <v>0</v>
      </c>
      <c r="Q47" s="16" t="b">
        <v>0</v>
      </c>
      <c r="R47" s="16" t="b">
        <v>0</v>
      </c>
      <c r="S47" s="16" t="b">
        <v>0</v>
      </c>
      <c r="T47" s="16" t="b">
        <v>0</v>
      </c>
      <c r="U47" s="16" t="b">
        <v>0</v>
      </c>
      <c r="V47" s="16" t="b">
        <v>0</v>
      </c>
      <c r="W47" s="16" t="b">
        <v>0</v>
      </c>
      <c r="X47" s="16" t="b">
        <v>0</v>
      </c>
      <c r="Y47" s="16" t="b">
        <v>0</v>
      </c>
      <c r="Z47" s="16" t="b">
        <v>0</v>
      </c>
      <c r="AA47" s="16" t="b">
        <v>0</v>
      </c>
      <c r="AB47" s="16" t="b">
        <v>0</v>
      </c>
      <c r="AC47" s="16" t="b">
        <v>0</v>
      </c>
      <c r="AD47" s="16" t="b">
        <v>0</v>
      </c>
      <c r="AE47" s="16" t="b">
        <v>0</v>
      </c>
      <c r="AF47" s="16" t="b">
        <v>0</v>
      </c>
      <c r="AG47" s="16" t="b">
        <v>0</v>
      </c>
      <c r="AH47" s="16" t="b">
        <v>0</v>
      </c>
      <c r="AI47" s="16" t="b">
        <v>0</v>
      </c>
      <c r="AJ47" s="16" t="b">
        <v>0</v>
      </c>
      <c r="AK47" s="16" t="b">
        <v>0</v>
      </c>
      <c r="AL47" s="16" t="b">
        <v>0</v>
      </c>
      <c r="AM47" s="7" t="str">
        <f>IF($B47="","",SUM(Task_Data!AM29:BQ29))</f>
        <v/>
      </c>
      <c r="AN47" s="7" t="str">
        <f t="shared" si="2"/>
        <v/>
      </c>
      <c r="AO47" s="12" t="str">
        <f t="shared" si="3"/>
        <v/>
      </c>
      <c r="AP47" s="7" t="str">
        <f>IF($B47="","",MIN(AQ47,COUNTIF(Task_Data!AM29:BQ29,1)))</f>
        <v/>
      </c>
      <c r="AQ47" s="7" t="str">
        <f>IF($B47="","",Task_Data!BT29)</f>
        <v/>
      </c>
      <c r="AR47" s="7" t="str" cm="1">
        <f t="array" ref="AR47">IF($B47="","",ROUND(AO47*60+_xlfn.SWITCH($C47,"High",25,"Medium",18,"Low",12,0)+IFERROR(AQ47/$BA$2,0)*15,1))</f>
        <v/>
      </c>
      <c r="AS47" s="3"/>
      <c r="AT47" s="3"/>
      <c r="AU47" s="3"/>
      <c r="AV47" s="3"/>
      <c r="AW47" s="3"/>
      <c r="AX47" s="3"/>
      <c r="AY47" s="3"/>
      <c r="AZ47" s="3"/>
    </row>
    <row r="48" spans="1:52" ht="24" customHeight="1">
      <c r="A48" s="3"/>
      <c r="B48" s="11"/>
      <c r="C48" s="19"/>
      <c r="D48" s="19"/>
      <c r="E48" s="19"/>
      <c r="F48" s="19"/>
      <c r="G48" s="11"/>
      <c r="H48" s="16" t="b">
        <v>0</v>
      </c>
      <c r="I48" s="16" t="b">
        <v>0</v>
      </c>
      <c r="J48" s="16" t="b">
        <v>0</v>
      </c>
      <c r="K48" s="16" t="b">
        <v>0</v>
      </c>
      <c r="L48" s="16" t="b">
        <v>0</v>
      </c>
      <c r="M48" s="16" t="b">
        <v>0</v>
      </c>
      <c r="N48" s="16" t="b">
        <v>0</v>
      </c>
      <c r="O48" s="16" t="b">
        <v>0</v>
      </c>
      <c r="P48" s="16" t="b">
        <v>0</v>
      </c>
      <c r="Q48" s="16" t="b">
        <v>0</v>
      </c>
      <c r="R48" s="16" t="b">
        <v>0</v>
      </c>
      <c r="S48" s="16" t="b">
        <v>0</v>
      </c>
      <c r="T48" s="16" t="b">
        <v>0</v>
      </c>
      <c r="U48" s="16" t="b">
        <v>0</v>
      </c>
      <c r="V48" s="16" t="b">
        <v>0</v>
      </c>
      <c r="W48" s="16" t="b">
        <v>0</v>
      </c>
      <c r="X48" s="16" t="b">
        <v>0</v>
      </c>
      <c r="Y48" s="16" t="b">
        <v>0</v>
      </c>
      <c r="Z48" s="16" t="b">
        <v>0</v>
      </c>
      <c r="AA48" s="16" t="b">
        <v>0</v>
      </c>
      <c r="AB48" s="16" t="b">
        <v>0</v>
      </c>
      <c r="AC48" s="16" t="b">
        <v>0</v>
      </c>
      <c r="AD48" s="16" t="b">
        <v>0</v>
      </c>
      <c r="AE48" s="16" t="b">
        <v>0</v>
      </c>
      <c r="AF48" s="16" t="b">
        <v>0</v>
      </c>
      <c r="AG48" s="16" t="b">
        <v>0</v>
      </c>
      <c r="AH48" s="16" t="b">
        <v>0</v>
      </c>
      <c r="AI48" s="16" t="b">
        <v>0</v>
      </c>
      <c r="AJ48" s="16" t="b">
        <v>0</v>
      </c>
      <c r="AK48" s="16" t="b">
        <v>0</v>
      </c>
      <c r="AL48" s="16" t="b">
        <v>0</v>
      </c>
      <c r="AM48" s="7" t="str">
        <f>IF($B48="","",SUM(Task_Data!AM30:BQ30))</f>
        <v/>
      </c>
      <c r="AN48" s="7" t="str">
        <f t="shared" si="2"/>
        <v/>
      </c>
      <c r="AO48" s="12" t="str">
        <f t="shared" si="3"/>
        <v/>
      </c>
      <c r="AP48" s="7" t="str">
        <f>IF($B48="","",MIN(AQ48,COUNTIF(Task_Data!AM30:BQ30,1)))</f>
        <v/>
      </c>
      <c r="AQ48" s="7" t="str">
        <f>IF($B48="","",Task_Data!BT30)</f>
        <v/>
      </c>
      <c r="AR48" s="7" t="str" cm="1">
        <f t="array" ref="AR48">IF($B48="","",ROUND(AO48*60+_xlfn.SWITCH($C48,"High",25,"Medium",18,"Low",12,0)+IFERROR(AQ48/$BA$2,0)*15,1))</f>
        <v/>
      </c>
      <c r="AS48" s="3"/>
      <c r="AT48" s="3"/>
      <c r="AU48" s="3"/>
      <c r="AV48" s="3"/>
      <c r="AW48" s="3"/>
      <c r="AX48" s="3"/>
      <c r="AY48" s="3"/>
      <c r="AZ48" s="3"/>
    </row>
    <row r="49" spans="1:52" ht="24" customHeight="1">
      <c r="A49" s="3"/>
      <c r="B49" s="11"/>
      <c r="C49" s="19"/>
      <c r="D49" s="19"/>
      <c r="E49" s="19"/>
      <c r="F49" s="19"/>
      <c r="G49" s="11"/>
      <c r="H49" s="16" t="b">
        <v>0</v>
      </c>
      <c r="I49" s="16" t="b">
        <v>0</v>
      </c>
      <c r="J49" s="16" t="b">
        <v>0</v>
      </c>
      <c r="K49" s="16" t="b">
        <v>0</v>
      </c>
      <c r="L49" s="16" t="b">
        <v>0</v>
      </c>
      <c r="M49" s="16" t="b">
        <v>0</v>
      </c>
      <c r="N49" s="16" t="b">
        <v>0</v>
      </c>
      <c r="O49" s="16" t="b">
        <v>0</v>
      </c>
      <c r="P49" s="16" t="b">
        <v>0</v>
      </c>
      <c r="Q49" s="16" t="b">
        <v>0</v>
      </c>
      <c r="R49" s="16" t="b">
        <v>0</v>
      </c>
      <c r="S49" s="16" t="b">
        <v>0</v>
      </c>
      <c r="T49" s="16" t="b">
        <v>0</v>
      </c>
      <c r="U49" s="16" t="b">
        <v>0</v>
      </c>
      <c r="V49" s="16" t="b">
        <v>0</v>
      </c>
      <c r="W49" s="16" t="b">
        <v>0</v>
      </c>
      <c r="X49" s="16" t="b">
        <v>0</v>
      </c>
      <c r="Y49" s="16" t="b">
        <v>0</v>
      </c>
      <c r="Z49" s="16" t="b">
        <v>0</v>
      </c>
      <c r="AA49" s="16" t="b">
        <v>0</v>
      </c>
      <c r="AB49" s="16" t="b">
        <v>0</v>
      </c>
      <c r="AC49" s="16" t="b">
        <v>0</v>
      </c>
      <c r="AD49" s="16" t="b">
        <v>0</v>
      </c>
      <c r="AE49" s="16" t="b">
        <v>0</v>
      </c>
      <c r="AF49" s="16" t="b">
        <v>0</v>
      </c>
      <c r="AG49" s="16" t="b">
        <v>0</v>
      </c>
      <c r="AH49" s="16" t="b">
        <v>0</v>
      </c>
      <c r="AI49" s="16" t="b">
        <v>0</v>
      </c>
      <c r="AJ49" s="16" t="b">
        <v>0</v>
      </c>
      <c r="AK49" s="16" t="b">
        <v>0</v>
      </c>
      <c r="AL49" s="16" t="b">
        <v>0</v>
      </c>
      <c r="AM49" s="7" t="str">
        <f>IF($B49="","",SUM(Task_Data!AM31:BQ31))</f>
        <v/>
      </c>
      <c r="AN49" s="7" t="str">
        <f t="shared" si="2"/>
        <v/>
      </c>
      <c r="AO49" s="12" t="str">
        <f t="shared" si="3"/>
        <v/>
      </c>
      <c r="AP49" s="7" t="str">
        <f>IF($B49="","",MIN(AQ49,COUNTIF(Task_Data!AM31:BQ31,1)))</f>
        <v/>
      </c>
      <c r="AQ49" s="7" t="str">
        <f>IF($B49="","",Task_Data!BT31)</f>
        <v/>
      </c>
      <c r="AR49" s="7" t="str" cm="1">
        <f t="array" ref="AR49">IF($B49="","",ROUND(AO49*60+_xlfn.SWITCH($C49,"High",25,"Medium",18,"Low",12,0)+IFERROR(AQ49/$BA$2,0)*15,1))</f>
        <v/>
      </c>
      <c r="AS49" s="3"/>
      <c r="AT49" s="3"/>
      <c r="AU49" s="3"/>
      <c r="AV49" s="3"/>
      <c r="AW49" s="3"/>
      <c r="AX49" s="3"/>
      <c r="AY49" s="3"/>
      <c r="AZ49" s="3"/>
    </row>
    <row r="50" spans="1:52" ht="24" customHeight="1">
      <c r="A50" s="3"/>
      <c r="B50" s="11"/>
      <c r="C50" s="19"/>
      <c r="D50" s="19"/>
      <c r="E50" s="19"/>
      <c r="F50" s="19"/>
      <c r="G50" s="11"/>
      <c r="H50" s="16" t="b">
        <v>0</v>
      </c>
      <c r="I50" s="16" t="b">
        <v>0</v>
      </c>
      <c r="J50" s="16" t="b">
        <v>0</v>
      </c>
      <c r="K50" s="16" t="b">
        <v>0</v>
      </c>
      <c r="L50" s="16" t="b">
        <v>0</v>
      </c>
      <c r="M50" s="16" t="b">
        <v>0</v>
      </c>
      <c r="N50" s="16" t="b">
        <v>0</v>
      </c>
      <c r="O50" s="16" t="b">
        <v>0</v>
      </c>
      <c r="P50" s="16" t="b">
        <v>0</v>
      </c>
      <c r="Q50" s="16" t="b">
        <v>0</v>
      </c>
      <c r="R50" s="16" t="b">
        <v>0</v>
      </c>
      <c r="S50" s="16" t="b">
        <v>0</v>
      </c>
      <c r="T50" s="16" t="b">
        <v>0</v>
      </c>
      <c r="U50" s="16" t="b">
        <v>0</v>
      </c>
      <c r="V50" s="16" t="b">
        <v>0</v>
      </c>
      <c r="W50" s="16" t="b">
        <v>0</v>
      </c>
      <c r="X50" s="16" t="b">
        <v>0</v>
      </c>
      <c r="Y50" s="16" t="b">
        <v>0</v>
      </c>
      <c r="Z50" s="16" t="b">
        <v>0</v>
      </c>
      <c r="AA50" s="16" t="b">
        <v>0</v>
      </c>
      <c r="AB50" s="16" t="b">
        <v>0</v>
      </c>
      <c r="AC50" s="16" t="b">
        <v>0</v>
      </c>
      <c r="AD50" s="16" t="b">
        <v>0</v>
      </c>
      <c r="AE50" s="16" t="b">
        <v>0</v>
      </c>
      <c r="AF50" s="16" t="b">
        <v>0</v>
      </c>
      <c r="AG50" s="16" t="b">
        <v>0</v>
      </c>
      <c r="AH50" s="16" t="b">
        <v>0</v>
      </c>
      <c r="AI50" s="16" t="b">
        <v>0</v>
      </c>
      <c r="AJ50" s="16" t="b">
        <v>0</v>
      </c>
      <c r="AK50" s="16" t="b">
        <v>0</v>
      </c>
      <c r="AL50" s="16" t="b">
        <v>0</v>
      </c>
      <c r="AM50" s="7" t="str">
        <f>IF($B50="","",SUM(Task_Data!AM32:BQ32))</f>
        <v/>
      </c>
      <c r="AN50" s="7" t="str">
        <f t="shared" si="2"/>
        <v/>
      </c>
      <c r="AO50" s="12" t="str">
        <f t="shared" si="3"/>
        <v/>
      </c>
      <c r="AP50" s="7" t="str">
        <f>IF($B50="","",MIN(AQ50,COUNTIF(Task_Data!AM32:BQ32,1)))</f>
        <v/>
      </c>
      <c r="AQ50" s="7" t="str">
        <f>IF($B50="","",Task_Data!BT32)</f>
        <v/>
      </c>
      <c r="AR50" s="7" t="str" cm="1">
        <f t="array" ref="AR50">IF($B50="","",ROUND(AO50*60+_xlfn.SWITCH($C50,"High",25,"Medium",18,"Low",12,0)+IFERROR(AQ50/$BA$2,0)*15,1))</f>
        <v/>
      </c>
      <c r="AS50" s="3"/>
      <c r="AT50" s="3"/>
      <c r="AU50" s="3"/>
      <c r="AV50" s="3"/>
      <c r="AW50" s="3"/>
      <c r="AX50" s="3"/>
      <c r="AY50" s="3"/>
      <c r="AZ50" s="3"/>
    </row>
    <row r="51" spans="1:52" ht="24" customHeight="1">
      <c r="A51" s="3"/>
      <c r="B51" s="11"/>
      <c r="C51" s="19"/>
      <c r="D51" s="19"/>
      <c r="E51" s="19"/>
      <c r="F51" s="19"/>
      <c r="G51" s="11"/>
      <c r="H51" s="16" t="b">
        <v>0</v>
      </c>
      <c r="I51" s="16" t="b">
        <v>0</v>
      </c>
      <c r="J51" s="16" t="b">
        <v>0</v>
      </c>
      <c r="K51" s="16" t="b">
        <v>0</v>
      </c>
      <c r="L51" s="16" t="b">
        <v>0</v>
      </c>
      <c r="M51" s="16" t="b">
        <v>0</v>
      </c>
      <c r="N51" s="16" t="b">
        <v>0</v>
      </c>
      <c r="O51" s="16" t="b">
        <v>0</v>
      </c>
      <c r="P51" s="16" t="b">
        <v>0</v>
      </c>
      <c r="Q51" s="16" t="b">
        <v>0</v>
      </c>
      <c r="R51" s="16" t="b">
        <v>0</v>
      </c>
      <c r="S51" s="16" t="b">
        <v>0</v>
      </c>
      <c r="T51" s="16" t="b">
        <v>0</v>
      </c>
      <c r="U51" s="16" t="b">
        <v>0</v>
      </c>
      <c r="V51" s="16" t="b">
        <v>0</v>
      </c>
      <c r="W51" s="16" t="b">
        <v>0</v>
      </c>
      <c r="X51" s="16" t="b">
        <v>0</v>
      </c>
      <c r="Y51" s="16" t="b">
        <v>0</v>
      </c>
      <c r="Z51" s="16" t="b">
        <v>0</v>
      </c>
      <c r="AA51" s="16" t="b">
        <v>0</v>
      </c>
      <c r="AB51" s="16" t="b">
        <v>0</v>
      </c>
      <c r="AC51" s="16" t="b">
        <v>0</v>
      </c>
      <c r="AD51" s="16" t="b">
        <v>0</v>
      </c>
      <c r="AE51" s="16" t="b">
        <v>0</v>
      </c>
      <c r="AF51" s="16" t="b">
        <v>0</v>
      </c>
      <c r="AG51" s="16" t="b">
        <v>0</v>
      </c>
      <c r="AH51" s="16" t="b">
        <v>0</v>
      </c>
      <c r="AI51" s="16" t="b">
        <v>0</v>
      </c>
      <c r="AJ51" s="16" t="b">
        <v>0</v>
      </c>
      <c r="AK51" s="16" t="b">
        <v>0</v>
      </c>
      <c r="AL51" s="16" t="b">
        <v>0</v>
      </c>
      <c r="AM51" s="7" t="str">
        <f>IF($B51="","",SUM(Task_Data!AM33:BQ33))</f>
        <v/>
      </c>
      <c r="AN51" s="7" t="str">
        <f t="shared" si="2"/>
        <v/>
      </c>
      <c r="AO51" s="12" t="str">
        <f t="shared" si="3"/>
        <v/>
      </c>
      <c r="AP51" s="7" t="str">
        <f>IF($B51="","",MIN(AQ51,COUNTIF(Task_Data!AM33:BQ33,1)))</f>
        <v/>
      </c>
      <c r="AQ51" s="7" t="str">
        <f>IF($B51="","",Task_Data!BT33)</f>
        <v/>
      </c>
      <c r="AR51" s="7" t="str" cm="1">
        <f t="array" ref="AR51">IF($B51="","",ROUND(AO51*60+_xlfn.SWITCH($C51,"High",25,"Medium",18,"Low",12,0)+IFERROR(AQ51/$BA$2,0)*15,1))</f>
        <v/>
      </c>
      <c r="AS51" s="3"/>
      <c r="AT51" s="3"/>
      <c r="AU51" s="3"/>
      <c r="AV51" s="3"/>
      <c r="AW51" s="3"/>
      <c r="AX51" s="3"/>
      <c r="AY51" s="3"/>
      <c r="AZ51" s="3"/>
    </row>
    <row r="52" spans="1:52" ht="24" customHeight="1">
      <c r="A52" s="3"/>
      <c r="B52" s="11"/>
      <c r="C52" s="19"/>
      <c r="D52" s="19"/>
      <c r="E52" s="19"/>
      <c r="F52" s="19"/>
      <c r="G52" s="11"/>
      <c r="H52" s="16" t="b">
        <v>0</v>
      </c>
      <c r="I52" s="16" t="b">
        <v>0</v>
      </c>
      <c r="J52" s="16" t="b">
        <v>0</v>
      </c>
      <c r="K52" s="16" t="b">
        <v>0</v>
      </c>
      <c r="L52" s="16" t="b">
        <v>0</v>
      </c>
      <c r="M52" s="16" t="b">
        <v>0</v>
      </c>
      <c r="N52" s="16" t="b">
        <v>0</v>
      </c>
      <c r="O52" s="16" t="b">
        <v>0</v>
      </c>
      <c r="P52" s="16" t="b">
        <v>0</v>
      </c>
      <c r="Q52" s="16" t="b">
        <v>0</v>
      </c>
      <c r="R52" s="16" t="b">
        <v>0</v>
      </c>
      <c r="S52" s="16" t="b">
        <v>0</v>
      </c>
      <c r="T52" s="16" t="b">
        <v>0</v>
      </c>
      <c r="U52" s="16" t="b">
        <v>0</v>
      </c>
      <c r="V52" s="16" t="b">
        <v>0</v>
      </c>
      <c r="W52" s="16" t="b">
        <v>0</v>
      </c>
      <c r="X52" s="16" t="b">
        <v>0</v>
      </c>
      <c r="Y52" s="16" t="b">
        <v>0</v>
      </c>
      <c r="Z52" s="16" t="b">
        <v>0</v>
      </c>
      <c r="AA52" s="16" t="b">
        <v>0</v>
      </c>
      <c r="AB52" s="16" t="b">
        <v>0</v>
      </c>
      <c r="AC52" s="16" t="b">
        <v>0</v>
      </c>
      <c r="AD52" s="16" t="b">
        <v>0</v>
      </c>
      <c r="AE52" s="16" t="b">
        <v>0</v>
      </c>
      <c r="AF52" s="16" t="b">
        <v>0</v>
      </c>
      <c r="AG52" s="16" t="b">
        <v>0</v>
      </c>
      <c r="AH52" s="16" t="b">
        <v>0</v>
      </c>
      <c r="AI52" s="16" t="b">
        <v>0</v>
      </c>
      <c r="AJ52" s="16" t="b">
        <v>0</v>
      </c>
      <c r="AK52" s="16" t="b">
        <v>0</v>
      </c>
      <c r="AL52" s="16" t="b">
        <v>0</v>
      </c>
      <c r="AM52" s="7" t="str">
        <f>IF($B52="","",SUM(Task_Data!AM34:BQ34))</f>
        <v/>
      </c>
      <c r="AN52" s="7" t="str">
        <f t="shared" ref="AN52:AN69" si="4">IF($B52="","",MAX(0,$F52-AM52))</f>
        <v/>
      </c>
      <c r="AO52" s="12" t="str">
        <f t="shared" ref="AO52:AO69" si="5">IF($B52="","",IFERROR(AM52/$BA$2,0))</f>
        <v/>
      </c>
      <c r="AP52" s="7" t="str">
        <f>IF($B52="","",MIN(AQ52,COUNTIF(Task_Data!AM34:BQ34,1)))</f>
        <v/>
      </c>
      <c r="AQ52" s="7" t="str">
        <f>IF($B52="","",Task_Data!BT34)</f>
        <v/>
      </c>
      <c r="AR52" s="7" t="str" cm="1">
        <f t="array" ref="AR52">IF($B52="","",ROUND(AO52*60+_xlfn.SWITCH($C52,"High",25,"Medium",18,"Low",12,0)+IFERROR(AQ52/$BA$2,0)*15,1))</f>
        <v/>
      </c>
      <c r="AS52" s="3"/>
      <c r="AT52" s="3"/>
      <c r="AU52" s="3"/>
      <c r="AV52" s="3"/>
      <c r="AW52" s="3"/>
      <c r="AX52" s="3"/>
      <c r="AY52" s="3"/>
      <c r="AZ52" s="3"/>
    </row>
    <row r="53" spans="1:52" ht="24" customHeight="1">
      <c r="A53" s="3"/>
      <c r="B53" s="11"/>
      <c r="C53" s="19"/>
      <c r="D53" s="19"/>
      <c r="E53" s="19"/>
      <c r="F53" s="19"/>
      <c r="G53" s="11"/>
      <c r="H53" s="16" t="b">
        <v>0</v>
      </c>
      <c r="I53" s="16" t="b">
        <v>0</v>
      </c>
      <c r="J53" s="16" t="b">
        <v>0</v>
      </c>
      <c r="K53" s="16" t="b">
        <v>0</v>
      </c>
      <c r="L53" s="16" t="b">
        <v>0</v>
      </c>
      <c r="M53" s="16" t="b">
        <v>0</v>
      </c>
      <c r="N53" s="16" t="b">
        <v>0</v>
      </c>
      <c r="O53" s="16" t="b">
        <v>0</v>
      </c>
      <c r="P53" s="16" t="b">
        <v>0</v>
      </c>
      <c r="Q53" s="16" t="b">
        <v>0</v>
      </c>
      <c r="R53" s="16" t="b">
        <v>0</v>
      </c>
      <c r="S53" s="16" t="b">
        <v>0</v>
      </c>
      <c r="T53" s="16" t="b">
        <v>0</v>
      </c>
      <c r="U53" s="16" t="b">
        <v>0</v>
      </c>
      <c r="V53" s="16" t="b">
        <v>0</v>
      </c>
      <c r="W53" s="16" t="b">
        <v>0</v>
      </c>
      <c r="X53" s="16" t="b">
        <v>0</v>
      </c>
      <c r="Y53" s="16" t="b">
        <v>0</v>
      </c>
      <c r="Z53" s="16" t="b">
        <v>0</v>
      </c>
      <c r="AA53" s="16" t="b">
        <v>0</v>
      </c>
      <c r="AB53" s="16" t="b">
        <v>0</v>
      </c>
      <c r="AC53" s="16" t="b">
        <v>0</v>
      </c>
      <c r="AD53" s="16" t="b">
        <v>0</v>
      </c>
      <c r="AE53" s="16" t="b">
        <v>0</v>
      </c>
      <c r="AF53" s="16" t="b">
        <v>0</v>
      </c>
      <c r="AG53" s="16" t="b">
        <v>0</v>
      </c>
      <c r="AH53" s="16" t="b">
        <v>0</v>
      </c>
      <c r="AI53" s="16" t="b">
        <v>0</v>
      </c>
      <c r="AJ53" s="16" t="b">
        <v>0</v>
      </c>
      <c r="AK53" s="16" t="b">
        <v>0</v>
      </c>
      <c r="AL53" s="16" t="b">
        <v>0</v>
      </c>
      <c r="AM53" s="7" t="str">
        <f>IF($B53="","",SUM(Task_Data!AM35:BQ35))</f>
        <v/>
      </c>
      <c r="AN53" s="7" t="str">
        <f t="shared" si="4"/>
        <v/>
      </c>
      <c r="AO53" s="12" t="str">
        <f t="shared" si="5"/>
        <v/>
      </c>
      <c r="AP53" s="7" t="str">
        <f>IF($B53="","",MIN(AQ53,COUNTIF(Task_Data!AM35:BQ35,1)))</f>
        <v/>
      </c>
      <c r="AQ53" s="7" t="str">
        <f>IF($B53="","",Task_Data!BT35)</f>
        <v/>
      </c>
      <c r="AR53" s="7" t="str" cm="1">
        <f t="array" ref="AR53">IF($B53="","",ROUND(AO53*60+_xlfn.SWITCH($C53,"High",25,"Medium",18,"Low",12,0)+IFERROR(AQ53/$BA$2,0)*15,1))</f>
        <v/>
      </c>
      <c r="AS53" s="3"/>
      <c r="AT53" s="3"/>
      <c r="AU53" s="3"/>
      <c r="AV53" s="3"/>
      <c r="AW53" s="3"/>
      <c r="AX53" s="3"/>
      <c r="AY53" s="3"/>
      <c r="AZ53" s="3"/>
    </row>
    <row r="54" spans="1:52" ht="24" customHeight="1">
      <c r="A54" s="3"/>
      <c r="B54" s="11"/>
      <c r="C54" s="19"/>
      <c r="D54" s="19"/>
      <c r="E54" s="19"/>
      <c r="F54" s="19"/>
      <c r="G54" s="11"/>
      <c r="H54" s="16" t="b">
        <v>0</v>
      </c>
      <c r="I54" s="16" t="b">
        <v>0</v>
      </c>
      <c r="J54" s="16" t="b">
        <v>0</v>
      </c>
      <c r="K54" s="16" t="b">
        <v>0</v>
      </c>
      <c r="L54" s="16" t="b">
        <v>0</v>
      </c>
      <c r="M54" s="16" t="b">
        <v>0</v>
      </c>
      <c r="N54" s="16" t="b">
        <v>0</v>
      </c>
      <c r="O54" s="16" t="b">
        <v>0</v>
      </c>
      <c r="P54" s="16" t="b">
        <v>0</v>
      </c>
      <c r="Q54" s="16" t="b">
        <v>0</v>
      </c>
      <c r="R54" s="16" t="b">
        <v>0</v>
      </c>
      <c r="S54" s="16" t="b">
        <v>0</v>
      </c>
      <c r="T54" s="16" t="b">
        <v>0</v>
      </c>
      <c r="U54" s="16" t="b">
        <v>0</v>
      </c>
      <c r="V54" s="16" t="b">
        <v>0</v>
      </c>
      <c r="W54" s="16" t="b">
        <v>0</v>
      </c>
      <c r="X54" s="16" t="b">
        <v>0</v>
      </c>
      <c r="Y54" s="16" t="b">
        <v>0</v>
      </c>
      <c r="Z54" s="16" t="b">
        <v>0</v>
      </c>
      <c r="AA54" s="16" t="b">
        <v>0</v>
      </c>
      <c r="AB54" s="16" t="b">
        <v>0</v>
      </c>
      <c r="AC54" s="16" t="b">
        <v>0</v>
      </c>
      <c r="AD54" s="16" t="b">
        <v>0</v>
      </c>
      <c r="AE54" s="16" t="b">
        <v>0</v>
      </c>
      <c r="AF54" s="16" t="b">
        <v>0</v>
      </c>
      <c r="AG54" s="16" t="b">
        <v>0</v>
      </c>
      <c r="AH54" s="16" t="b">
        <v>0</v>
      </c>
      <c r="AI54" s="16" t="b">
        <v>0</v>
      </c>
      <c r="AJ54" s="16" t="b">
        <v>0</v>
      </c>
      <c r="AK54" s="16" t="b">
        <v>0</v>
      </c>
      <c r="AL54" s="16" t="b">
        <v>0</v>
      </c>
      <c r="AM54" s="7" t="str">
        <f>IF($B54="","",SUM(Task_Data!AM36:BQ36))</f>
        <v/>
      </c>
      <c r="AN54" s="7" t="str">
        <f t="shared" si="4"/>
        <v/>
      </c>
      <c r="AO54" s="12" t="str">
        <f t="shared" si="5"/>
        <v/>
      </c>
      <c r="AP54" s="7" t="str">
        <f>IF($B54="","",MIN(AQ54,COUNTIF(Task_Data!AM36:BQ36,1)))</f>
        <v/>
      </c>
      <c r="AQ54" s="7" t="str">
        <f>IF($B54="","",Task_Data!BT36)</f>
        <v/>
      </c>
      <c r="AR54" s="7" t="str" cm="1">
        <f t="array" ref="AR54">IF($B54="","",ROUND(AO54*60+_xlfn.SWITCH($C54,"High",25,"Medium",18,"Low",12,0)+IFERROR(AQ54/$BA$2,0)*15,1))</f>
        <v/>
      </c>
      <c r="AS54" s="3"/>
      <c r="AT54" s="3"/>
      <c r="AU54" s="3"/>
      <c r="AV54" s="3"/>
      <c r="AW54" s="3"/>
      <c r="AX54" s="3"/>
      <c r="AY54" s="3"/>
      <c r="AZ54" s="3"/>
    </row>
    <row r="55" spans="1:52" ht="24" customHeight="1">
      <c r="A55" s="3"/>
      <c r="B55" s="11"/>
      <c r="C55" s="19"/>
      <c r="D55" s="19"/>
      <c r="E55" s="19"/>
      <c r="F55" s="19"/>
      <c r="G55" s="11"/>
      <c r="H55" s="16" t="b">
        <v>0</v>
      </c>
      <c r="I55" s="16" t="b">
        <v>0</v>
      </c>
      <c r="J55" s="16" t="b">
        <v>0</v>
      </c>
      <c r="K55" s="16" t="b">
        <v>0</v>
      </c>
      <c r="L55" s="16" t="b">
        <v>0</v>
      </c>
      <c r="M55" s="16" t="b">
        <v>0</v>
      </c>
      <c r="N55" s="16" t="b">
        <v>0</v>
      </c>
      <c r="O55" s="16" t="b">
        <v>0</v>
      </c>
      <c r="P55" s="16" t="b">
        <v>0</v>
      </c>
      <c r="Q55" s="16" t="b">
        <v>0</v>
      </c>
      <c r="R55" s="16" t="b">
        <v>0</v>
      </c>
      <c r="S55" s="16" t="b">
        <v>0</v>
      </c>
      <c r="T55" s="16" t="b">
        <v>0</v>
      </c>
      <c r="U55" s="16" t="b">
        <v>0</v>
      </c>
      <c r="V55" s="16" t="b">
        <v>0</v>
      </c>
      <c r="W55" s="16" t="b">
        <v>0</v>
      </c>
      <c r="X55" s="16" t="b">
        <v>0</v>
      </c>
      <c r="Y55" s="16" t="b">
        <v>0</v>
      </c>
      <c r="Z55" s="16" t="b">
        <v>0</v>
      </c>
      <c r="AA55" s="16" t="b">
        <v>0</v>
      </c>
      <c r="AB55" s="16" t="b">
        <v>0</v>
      </c>
      <c r="AC55" s="16" t="b">
        <v>0</v>
      </c>
      <c r="AD55" s="16" t="b">
        <v>0</v>
      </c>
      <c r="AE55" s="16" t="b">
        <v>0</v>
      </c>
      <c r="AF55" s="16" t="b">
        <v>0</v>
      </c>
      <c r="AG55" s="16" t="b">
        <v>0</v>
      </c>
      <c r="AH55" s="16" t="b">
        <v>0</v>
      </c>
      <c r="AI55" s="16" t="b">
        <v>0</v>
      </c>
      <c r="AJ55" s="16" t="b">
        <v>0</v>
      </c>
      <c r="AK55" s="16" t="b">
        <v>0</v>
      </c>
      <c r="AL55" s="16" t="b">
        <v>0</v>
      </c>
      <c r="AM55" s="7" t="str">
        <f>IF($B55="","",SUM(Task_Data!AM37:BQ37))</f>
        <v/>
      </c>
      <c r="AN55" s="7" t="str">
        <f t="shared" si="4"/>
        <v/>
      </c>
      <c r="AO55" s="12" t="str">
        <f t="shared" si="5"/>
        <v/>
      </c>
      <c r="AP55" s="7" t="str">
        <f>IF($B55="","",MIN(AQ55,COUNTIF(Task_Data!AM37:BQ37,1)))</f>
        <v/>
      </c>
      <c r="AQ55" s="7" t="str">
        <f>IF($B55="","",Task_Data!BT37)</f>
        <v/>
      </c>
      <c r="AR55" s="7" t="str" cm="1">
        <f t="array" ref="AR55">IF($B55="","",ROUND(AO55*60+_xlfn.SWITCH($C55,"High",25,"Medium",18,"Low",12,0)+IFERROR(AQ55/$BA$2,0)*15,1))</f>
        <v/>
      </c>
      <c r="AS55" s="3"/>
      <c r="AT55" s="3"/>
      <c r="AU55" s="3"/>
      <c r="AV55" s="3"/>
      <c r="AW55" s="3"/>
      <c r="AX55" s="3"/>
      <c r="AY55" s="3"/>
      <c r="AZ55" s="3"/>
    </row>
    <row r="56" spans="1:52" ht="24" customHeight="1">
      <c r="A56" s="3"/>
      <c r="B56" s="11"/>
      <c r="C56" s="19"/>
      <c r="D56" s="19"/>
      <c r="E56" s="19"/>
      <c r="F56" s="19"/>
      <c r="G56" s="11"/>
      <c r="H56" s="16" t="b">
        <v>0</v>
      </c>
      <c r="I56" s="16" t="b">
        <v>0</v>
      </c>
      <c r="J56" s="16" t="b">
        <v>0</v>
      </c>
      <c r="K56" s="16" t="b">
        <v>0</v>
      </c>
      <c r="L56" s="16" t="b">
        <v>0</v>
      </c>
      <c r="M56" s="16" t="b">
        <v>0</v>
      </c>
      <c r="N56" s="16" t="b">
        <v>0</v>
      </c>
      <c r="O56" s="16" t="b">
        <v>0</v>
      </c>
      <c r="P56" s="16" t="b">
        <v>0</v>
      </c>
      <c r="Q56" s="16" t="b">
        <v>0</v>
      </c>
      <c r="R56" s="16" t="b">
        <v>0</v>
      </c>
      <c r="S56" s="16" t="b">
        <v>0</v>
      </c>
      <c r="T56" s="16" t="b">
        <v>0</v>
      </c>
      <c r="U56" s="16" t="b">
        <v>0</v>
      </c>
      <c r="V56" s="16" t="b">
        <v>0</v>
      </c>
      <c r="W56" s="16" t="b">
        <v>0</v>
      </c>
      <c r="X56" s="16" t="b">
        <v>0</v>
      </c>
      <c r="Y56" s="16" t="b">
        <v>0</v>
      </c>
      <c r="Z56" s="16" t="b">
        <v>0</v>
      </c>
      <c r="AA56" s="16" t="b">
        <v>0</v>
      </c>
      <c r="AB56" s="16" t="b">
        <v>0</v>
      </c>
      <c r="AC56" s="16" t="b">
        <v>0</v>
      </c>
      <c r="AD56" s="16" t="b">
        <v>0</v>
      </c>
      <c r="AE56" s="16" t="b">
        <v>0</v>
      </c>
      <c r="AF56" s="16" t="b">
        <v>0</v>
      </c>
      <c r="AG56" s="16" t="b">
        <v>0</v>
      </c>
      <c r="AH56" s="16" t="b">
        <v>0</v>
      </c>
      <c r="AI56" s="16" t="b">
        <v>0</v>
      </c>
      <c r="AJ56" s="16" t="b">
        <v>0</v>
      </c>
      <c r="AK56" s="16" t="b">
        <v>0</v>
      </c>
      <c r="AL56" s="16" t="b">
        <v>0</v>
      </c>
      <c r="AM56" s="7" t="str">
        <f>IF($B56="","",SUM(Task_Data!AM38:BQ38))</f>
        <v/>
      </c>
      <c r="AN56" s="7" t="str">
        <f t="shared" si="4"/>
        <v/>
      </c>
      <c r="AO56" s="12" t="str">
        <f t="shared" si="5"/>
        <v/>
      </c>
      <c r="AP56" s="7" t="str">
        <f>IF($B56="","",MIN(AQ56,COUNTIF(Task_Data!AM38:BQ38,1)))</f>
        <v/>
      </c>
      <c r="AQ56" s="7" t="str">
        <f>IF($B56="","",Task_Data!BT38)</f>
        <v/>
      </c>
      <c r="AR56" s="7" t="str" cm="1">
        <f t="array" ref="AR56">IF($B56="","",ROUND(AO56*60+_xlfn.SWITCH($C56,"High",25,"Medium",18,"Low",12,0)+IFERROR(AQ56/$BA$2,0)*15,1))</f>
        <v/>
      </c>
      <c r="AS56" s="3"/>
      <c r="AT56" s="3"/>
      <c r="AU56" s="3"/>
      <c r="AV56" s="3"/>
      <c r="AW56" s="3"/>
      <c r="AX56" s="3"/>
      <c r="AY56" s="3"/>
      <c r="AZ56" s="3"/>
    </row>
    <row r="57" spans="1:52" ht="24" customHeight="1">
      <c r="A57" s="3"/>
      <c r="B57" s="11"/>
      <c r="C57" s="19"/>
      <c r="D57" s="19"/>
      <c r="E57" s="19"/>
      <c r="F57" s="19"/>
      <c r="G57" s="11"/>
      <c r="H57" s="16" t="b">
        <v>0</v>
      </c>
      <c r="I57" s="16" t="b">
        <v>0</v>
      </c>
      <c r="J57" s="16" t="b">
        <v>0</v>
      </c>
      <c r="K57" s="16" t="b">
        <v>0</v>
      </c>
      <c r="L57" s="16" t="b">
        <v>0</v>
      </c>
      <c r="M57" s="16" t="b">
        <v>0</v>
      </c>
      <c r="N57" s="16" t="b">
        <v>0</v>
      </c>
      <c r="O57" s="16" t="b">
        <v>0</v>
      </c>
      <c r="P57" s="16" t="b">
        <v>0</v>
      </c>
      <c r="Q57" s="16" t="b">
        <v>0</v>
      </c>
      <c r="R57" s="16" t="b">
        <v>0</v>
      </c>
      <c r="S57" s="16" t="b">
        <v>0</v>
      </c>
      <c r="T57" s="16" t="b">
        <v>0</v>
      </c>
      <c r="U57" s="16" t="b">
        <v>0</v>
      </c>
      <c r="V57" s="16" t="b">
        <v>0</v>
      </c>
      <c r="W57" s="16" t="b">
        <v>0</v>
      </c>
      <c r="X57" s="16" t="b">
        <v>0</v>
      </c>
      <c r="Y57" s="16" t="b">
        <v>0</v>
      </c>
      <c r="Z57" s="16" t="b">
        <v>0</v>
      </c>
      <c r="AA57" s="16" t="b">
        <v>0</v>
      </c>
      <c r="AB57" s="16" t="b">
        <v>0</v>
      </c>
      <c r="AC57" s="16" t="b">
        <v>0</v>
      </c>
      <c r="AD57" s="16" t="b">
        <v>0</v>
      </c>
      <c r="AE57" s="16" t="b">
        <v>0</v>
      </c>
      <c r="AF57" s="16" t="b">
        <v>0</v>
      </c>
      <c r="AG57" s="16" t="b">
        <v>0</v>
      </c>
      <c r="AH57" s="16" t="b">
        <v>0</v>
      </c>
      <c r="AI57" s="16" t="b">
        <v>0</v>
      </c>
      <c r="AJ57" s="16" t="b">
        <v>0</v>
      </c>
      <c r="AK57" s="16" t="b">
        <v>0</v>
      </c>
      <c r="AL57" s="16" t="b">
        <v>0</v>
      </c>
      <c r="AM57" s="7" t="str">
        <f>IF($B57="","",SUM(Task_Data!AM39:BQ39))</f>
        <v/>
      </c>
      <c r="AN57" s="7" t="str">
        <f t="shared" si="4"/>
        <v/>
      </c>
      <c r="AO57" s="12" t="str">
        <f t="shared" si="5"/>
        <v/>
      </c>
      <c r="AP57" s="7" t="str">
        <f>IF($B57="","",MIN(AQ57,COUNTIF(Task_Data!AM39:BQ39,1)))</f>
        <v/>
      </c>
      <c r="AQ57" s="7" t="str">
        <f>IF($B57="","",Task_Data!BT39)</f>
        <v/>
      </c>
      <c r="AR57" s="7" t="str" cm="1">
        <f t="array" ref="AR57">IF($B57="","",ROUND(AO57*60+_xlfn.SWITCH($C57,"High",25,"Medium",18,"Low",12,0)+IFERROR(AQ57/$BA$2,0)*15,1))</f>
        <v/>
      </c>
      <c r="AS57" s="3"/>
      <c r="AT57" s="3"/>
      <c r="AU57" s="3"/>
      <c r="AV57" s="3"/>
      <c r="AW57" s="3"/>
      <c r="AX57" s="3"/>
      <c r="AY57" s="3"/>
      <c r="AZ57" s="3"/>
    </row>
    <row r="58" spans="1:52" ht="24" customHeight="1">
      <c r="A58" s="3"/>
      <c r="B58" s="11"/>
      <c r="C58" s="19"/>
      <c r="D58" s="19"/>
      <c r="E58" s="19"/>
      <c r="F58" s="19"/>
      <c r="G58" s="11"/>
      <c r="H58" s="16" t="b">
        <v>0</v>
      </c>
      <c r="I58" s="16" t="b">
        <v>0</v>
      </c>
      <c r="J58" s="16" t="b">
        <v>0</v>
      </c>
      <c r="K58" s="16" t="b">
        <v>0</v>
      </c>
      <c r="L58" s="16" t="b">
        <v>0</v>
      </c>
      <c r="M58" s="16" t="b">
        <v>0</v>
      </c>
      <c r="N58" s="16" t="b">
        <v>0</v>
      </c>
      <c r="O58" s="16" t="b">
        <v>0</v>
      </c>
      <c r="P58" s="16" t="b">
        <v>0</v>
      </c>
      <c r="Q58" s="16" t="b">
        <v>0</v>
      </c>
      <c r="R58" s="16" t="b">
        <v>0</v>
      </c>
      <c r="S58" s="16" t="b">
        <v>0</v>
      </c>
      <c r="T58" s="16" t="b">
        <v>0</v>
      </c>
      <c r="U58" s="16" t="b">
        <v>0</v>
      </c>
      <c r="V58" s="16" t="b">
        <v>0</v>
      </c>
      <c r="W58" s="16" t="b">
        <v>0</v>
      </c>
      <c r="X58" s="16" t="b">
        <v>0</v>
      </c>
      <c r="Y58" s="16" t="b">
        <v>0</v>
      </c>
      <c r="Z58" s="16" t="b">
        <v>0</v>
      </c>
      <c r="AA58" s="16" t="b">
        <v>0</v>
      </c>
      <c r="AB58" s="16" t="b">
        <v>0</v>
      </c>
      <c r="AC58" s="16" t="b">
        <v>0</v>
      </c>
      <c r="AD58" s="16" t="b">
        <v>0</v>
      </c>
      <c r="AE58" s="16" t="b">
        <v>0</v>
      </c>
      <c r="AF58" s="16" t="b">
        <v>0</v>
      </c>
      <c r="AG58" s="16" t="b">
        <v>0</v>
      </c>
      <c r="AH58" s="16" t="b">
        <v>0</v>
      </c>
      <c r="AI58" s="16" t="b">
        <v>0</v>
      </c>
      <c r="AJ58" s="16" t="b">
        <v>0</v>
      </c>
      <c r="AK58" s="16" t="b">
        <v>0</v>
      </c>
      <c r="AL58" s="16" t="b">
        <v>0</v>
      </c>
      <c r="AM58" s="7" t="str">
        <f>IF($B58="","",SUM(Task_Data!AM40:BQ40))</f>
        <v/>
      </c>
      <c r="AN58" s="7" t="str">
        <f t="shared" si="4"/>
        <v/>
      </c>
      <c r="AO58" s="12" t="str">
        <f t="shared" si="5"/>
        <v/>
      </c>
      <c r="AP58" s="7" t="str">
        <f>IF($B58="","",MIN(AQ58,COUNTIF(Task_Data!AM40:BQ40,1)))</f>
        <v/>
      </c>
      <c r="AQ58" s="7" t="str">
        <f>IF($B58="","",Task_Data!BT40)</f>
        <v/>
      </c>
      <c r="AR58" s="7" t="str" cm="1">
        <f t="array" ref="AR58">IF($B58="","",ROUND(AO58*60+_xlfn.SWITCH($C58,"High",25,"Medium",18,"Low",12,0)+IFERROR(AQ58/$BA$2,0)*15,1))</f>
        <v/>
      </c>
      <c r="AS58" s="3"/>
      <c r="AT58" s="3"/>
      <c r="AU58" s="3"/>
      <c r="AV58" s="3"/>
      <c r="AW58" s="3"/>
      <c r="AX58" s="3"/>
      <c r="AY58" s="3"/>
      <c r="AZ58" s="3"/>
    </row>
    <row r="59" spans="1:52" ht="24" customHeight="1">
      <c r="A59" s="3"/>
      <c r="B59" s="11"/>
      <c r="C59" s="19"/>
      <c r="D59" s="19"/>
      <c r="E59" s="19"/>
      <c r="F59" s="19"/>
      <c r="G59" s="11"/>
      <c r="H59" s="16" t="b">
        <v>0</v>
      </c>
      <c r="I59" s="16" t="b">
        <v>0</v>
      </c>
      <c r="J59" s="16" t="b">
        <v>0</v>
      </c>
      <c r="K59" s="16" t="b">
        <v>0</v>
      </c>
      <c r="L59" s="16" t="b">
        <v>0</v>
      </c>
      <c r="M59" s="16" t="b">
        <v>0</v>
      </c>
      <c r="N59" s="16" t="b">
        <v>0</v>
      </c>
      <c r="O59" s="16" t="b">
        <v>0</v>
      </c>
      <c r="P59" s="16" t="b">
        <v>0</v>
      </c>
      <c r="Q59" s="16" t="b">
        <v>0</v>
      </c>
      <c r="R59" s="16" t="b">
        <v>0</v>
      </c>
      <c r="S59" s="16" t="b">
        <v>0</v>
      </c>
      <c r="T59" s="16" t="b">
        <v>0</v>
      </c>
      <c r="U59" s="16" t="b">
        <v>0</v>
      </c>
      <c r="V59" s="16" t="b">
        <v>0</v>
      </c>
      <c r="W59" s="16" t="b">
        <v>0</v>
      </c>
      <c r="X59" s="16" t="b">
        <v>0</v>
      </c>
      <c r="Y59" s="16" t="b">
        <v>0</v>
      </c>
      <c r="Z59" s="16" t="b">
        <v>0</v>
      </c>
      <c r="AA59" s="16" t="b">
        <v>0</v>
      </c>
      <c r="AB59" s="16" t="b">
        <v>0</v>
      </c>
      <c r="AC59" s="16" t="b">
        <v>0</v>
      </c>
      <c r="AD59" s="16" t="b">
        <v>0</v>
      </c>
      <c r="AE59" s="16" t="b">
        <v>0</v>
      </c>
      <c r="AF59" s="16" t="b">
        <v>0</v>
      </c>
      <c r="AG59" s="16" t="b">
        <v>0</v>
      </c>
      <c r="AH59" s="16" t="b">
        <v>0</v>
      </c>
      <c r="AI59" s="16" t="b">
        <v>0</v>
      </c>
      <c r="AJ59" s="16" t="b">
        <v>0</v>
      </c>
      <c r="AK59" s="16" t="b">
        <v>0</v>
      </c>
      <c r="AL59" s="16" t="b">
        <v>0</v>
      </c>
      <c r="AM59" s="7" t="str">
        <f>IF($B59="","",SUM(Task_Data!AM41:BQ41))</f>
        <v/>
      </c>
      <c r="AN59" s="7" t="str">
        <f t="shared" si="4"/>
        <v/>
      </c>
      <c r="AO59" s="12" t="str">
        <f t="shared" si="5"/>
        <v/>
      </c>
      <c r="AP59" s="7" t="str">
        <f>IF($B59="","",MIN(AQ59,COUNTIF(Task_Data!AM41:BQ41,1)))</f>
        <v/>
      </c>
      <c r="AQ59" s="7" t="str">
        <f>IF($B59="","",Task_Data!BT41)</f>
        <v/>
      </c>
      <c r="AR59" s="7" t="str" cm="1">
        <f t="array" ref="AR59">IF($B59="","",ROUND(AO59*60+_xlfn.SWITCH($C59,"High",25,"Medium",18,"Low",12,0)+IFERROR(AQ59/$BA$2,0)*15,1))</f>
        <v/>
      </c>
      <c r="AS59" s="3"/>
      <c r="AT59" s="3"/>
      <c r="AU59" s="3"/>
      <c r="AV59" s="3"/>
      <c r="AW59" s="3"/>
      <c r="AX59" s="3"/>
      <c r="AY59" s="3"/>
      <c r="AZ59" s="3"/>
    </row>
    <row r="60" spans="1:52" ht="24" customHeight="1">
      <c r="A60" s="3"/>
      <c r="B60" s="11"/>
      <c r="C60" s="19"/>
      <c r="D60" s="19"/>
      <c r="E60" s="19"/>
      <c r="F60" s="19"/>
      <c r="G60" s="11"/>
      <c r="H60" s="16" t="b">
        <v>0</v>
      </c>
      <c r="I60" s="16" t="b">
        <v>0</v>
      </c>
      <c r="J60" s="16" t="b">
        <v>0</v>
      </c>
      <c r="K60" s="16" t="b">
        <v>0</v>
      </c>
      <c r="L60" s="16" t="b">
        <v>0</v>
      </c>
      <c r="M60" s="16" t="b">
        <v>0</v>
      </c>
      <c r="N60" s="16" t="b">
        <v>0</v>
      </c>
      <c r="O60" s="16" t="b">
        <v>0</v>
      </c>
      <c r="P60" s="16" t="b">
        <v>0</v>
      </c>
      <c r="Q60" s="16" t="b">
        <v>0</v>
      </c>
      <c r="R60" s="16" t="b">
        <v>0</v>
      </c>
      <c r="S60" s="16" t="b">
        <v>0</v>
      </c>
      <c r="T60" s="16" t="b">
        <v>0</v>
      </c>
      <c r="U60" s="16" t="b">
        <v>0</v>
      </c>
      <c r="V60" s="16" t="b">
        <v>0</v>
      </c>
      <c r="W60" s="16" t="b">
        <v>0</v>
      </c>
      <c r="X60" s="16" t="b">
        <v>0</v>
      </c>
      <c r="Y60" s="16" t="b">
        <v>0</v>
      </c>
      <c r="Z60" s="16" t="b">
        <v>0</v>
      </c>
      <c r="AA60" s="16" t="b">
        <v>0</v>
      </c>
      <c r="AB60" s="16" t="b">
        <v>0</v>
      </c>
      <c r="AC60" s="16" t="b">
        <v>0</v>
      </c>
      <c r="AD60" s="16" t="b">
        <v>0</v>
      </c>
      <c r="AE60" s="16" t="b">
        <v>0</v>
      </c>
      <c r="AF60" s="16" t="b">
        <v>0</v>
      </c>
      <c r="AG60" s="16" t="b">
        <v>0</v>
      </c>
      <c r="AH60" s="16" t="b">
        <v>0</v>
      </c>
      <c r="AI60" s="16" t="b">
        <v>0</v>
      </c>
      <c r="AJ60" s="16" t="b">
        <v>0</v>
      </c>
      <c r="AK60" s="16" t="b">
        <v>0</v>
      </c>
      <c r="AL60" s="16" t="b">
        <v>0</v>
      </c>
      <c r="AM60" s="7" t="str">
        <f>IF($B60="","",SUM(Task_Data!AM42:BQ42))</f>
        <v/>
      </c>
      <c r="AN60" s="7" t="str">
        <f t="shared" si="4"/>
        <v/>
      </c>
      <c r="AO60" s="12" t="str">
        <f t="shared" si="5"/>
        <v/>
      </c>
      <c r="AP60" s="7" t="str">
        <f>IF($B60="","",MIN(AQ60,COUNTIF(Task_Data!AM42:BQ42,1)))</f>
        <v/>
      </c>
      <c r="AQ60" s="7" t="str">
        <f>IF($B60="","",Task_Data!BT42)</f>
        <v/>
      </c>
      <c r="AR60" s="7" t="str" cm="1">
        <f t="array" ref="AR60">IF($B60="","",ROUND(AO60*60+_xlfn.SWITCH($C60,"High",25,"Medium",18,"Low",12,0)+IFERROR(AQ60/$BA$2,0)*15,1))</f>
        <v/>
      </c>
      <c r="AS60" s="3"/>
      <c r="AT60" s="3"/>
      <c r="AU60" s="3"/>
      <c r="AV60" s="3"/>
      <c r="AW60" s="3"/>
      <c r="AX60" s="3"/>
      <c r="AY60" s="3"/>
      <c r="AZ60" s="3"/>
    </row>
    <row r="61" spans="1:52" ht="24" customHeight="1">
      <c r="A61" s="3"/>
      <c r="B61" s="11"/>
      <c r="C61" s="19"/>
      <c r="D61" s="19"/>
      <c r="E61" s="19"/>
      <c r="F61" s="19"/>
      <c r="G61" s="11"/>
      <c r="H61" s="16" t="b">
        <v>0</v>
      </c>
      <c r="I61" s="16" t="b">
        <v>0</v>
      </c>
      <c r="J61" s="16" t="b">
        <v>0</v>
      </c>
      <c r="K61" s="16" t="b">
        <v>0</v>
      </c>
      <c r="L61" s="16" t="b">
        <v>0</v>
      </c>
      <c r="M61" s="16" t="b">
        <v>0</v>
      </c>
      <c r="N61" s="16" t="b">
        <v>0</v>
      </c>
      <c r="O61" s="16" t="b">
        <v>0</v>
      </c>
      <c r="P61" s="16" t="b">
        <v>0</v>
      </c>
      <c r="Q61" s="16" t="b">
        <v>0</v>
      </c>
      <c r="R61" s="16" t="b">
        <v>0</v>
      </c>
      <c r="S61" s="16" t="b">
        <v>0</v>
      </c>
      <c r="T61" s="16" t="b">
        <v>0</v>
      </c>
      <c r="U61" s="16" t="b">
        <v>0</v>
      </c>
      <c r="V61" s="16" t="b">
        <v>0</v>
      </c>
      <c r="W61" s="16" t="b">
        <v>0</v>
      </c>
      <c r="X61" s="16" t="b">
        <v>0</v>
      </c>
      <c r="Y61" s="16" t="b">
        <v>0</v>
      </c>
      <c r="Z61" s="16" t="b">
        <v>0</v>
      </c>
      <c r="AA61" s="16" t="b">
        <v>0</v>
      </c>
      <c r="AB61" s="16" t="b">
        <v>0</v>
      </c>
      <c r="AC61" s="16" t="b">
        <v>0</v>
      </c>
      <c r="AD61" s="16" t="b">
        <v>0</v>
      </c>
      <c r="AE61" s="16" t="b">
        <v>0</v>
      </c>
      <c r="AF61" s="16" t="b">
        <v>0</v>
      </c>
      <c r="AG61" s="16" t="b">
        <v>0</v>
      </c>
      <c r="AH61" s="16" t="b">
        <v>0</v>
      </c>
      <c r="AI61" s="16" t="b">
        <v>0</v>
      </c>
      <c r="AJ61" s="16" t="b">
        <v>0</v>
      </c>
      <c r="AK61" s="16" t="b">
        <v>0</v>
      </c>
      <c r="AL61" s="16" t="b">
        <v>0</v>
      </c>
      <c r="AM61" s="7" t="str">
        <f>IF($B61="","",SUM(Task_Data!AM43:BQ43))</f>
        <v/>
      </c>
      <c r="AN61" s="7" t="str">
        <f t="shared" si="4"/>
        <v/>
      </c>
      <c r="AO61" s="12" t="str">
        <f t="shared" si="5"/>
        <v/>
      </c>
      <c r="AP61" s="7" t="str">
        <f>IF($B61="","",MIN(AQ61,COUNTIF(Task_Data!AM43:BQ43,1)))</f>
        <v/>
      </c>
      <c r="AQ61" s="7" t="str">
        <f>IF($B61="","",Task_Data!BT43)</f>
        <v/>
      </c>
      <c r="AR61" s="7" t="str" cm="1">
        <f t="array" ref="AR61">IF($B61="","",ROUND(AO61*60+_xlfn.SWITCH($C61,"High",25,"Medium",18,"Low",12,0)+IFERROR(AQ61/$BA$2,0)*15,1))</f>
        <v/>
      </c>
      <c r="AS61" s="3"/>
      <c r="AT61" s="3"/>
      <c r="AU61" s="3"/>
      <c r="AV61" s="3"/>
      <c r="AW61" s="3"/>
      <c r="AX61" s="3"/>
      <c r="AY61" s="3"/>
      <c r="AZ61" s="3"/>
    </row>
    <row r="62" spans="1:52" ht="24" customHeight="1">
      <c r="A62" s="3"/>
      <c r="B62" s="11"/>
      <c r="C62" s="19"/>
      <c r="D62" s="19"/>
      <c r="E62" s="19"/>
      <c r="F62" s="19"/>
      <c r="G62" s="11"/>
      <c r="H62" s="16" t="b">
        <v>0</v>
      </c>
      <c r="I62" s="16" t="b">
        <v>0</v>
      </c>
      <c r="J62" s="16" t="b">
        <v>0</v>
      </c>
      <c r="K62" s="16" t="b">
        <v>0</v>
      </c>
      <c r="L62" s="16" t="b">
        <v>0</v>
      </c>
      <c r="M62" s="16" t="b">
        <v>0</v>
      </c>
      <c r="N62" s="16" t="b">
        <v>0</v>
      </c>
      <c r="O62" s="16" t="b">
        <v>0</v>
      </c>
      <c r="P62" s="16" t="b">
        <v>0</v>
      </c>
      <c r="Q62" s="16" t="b">
        <v>0</v>
      </c>
      <c r="R62" s="16" t="b">
        <v>0</v>
      </c>
      <c r="S62" s="16" t="b">
        <v>0</v>
      </c>
      <c r="T62" s="16" t="b">
        <v>0</v>
      </c>
      <c r="U62" s="16" t="b">
        <v>0</v>
      </c>
      <c r="V62" s="16" t="b">
        <v>0</v>
      </c>
      <c r="W62" s="16" t="b">
        <v>0</v>
      </c>
      <c r="X62" s="16" t="b">
        <v>0</v>
      </c>
      <c r="Y62" s="16" t="b">
        <v>0</v>
      </c>
      <c r="Z62" s="16" t="b">
        <v>0</v>
      </c>
      <c r="AA62" s="16" t="b">
        <v>0</v>
      </c>
      <c r="AB62" s="16" t="b">
        <v>0</v>
      </c>
      <c r="AC62" s="16" t="b">
        <v>0</v>
      </c>
      <c r="AD62" s="16" t="b">
        <v>0</v>
      </c>
      <c r="AE62" s="16" t="b">
        <v>0</v>
      </c>
      <c r="AF62" s="16" t="b">
        <v>0</v>
      </c>
      <c r="AG62" s="16" t="b">
        <v>0</v>
      </c>
      <c r="AH62" s="16" t="b">
        <v>0</v>
      </c>
      <c r="AI62" s="16" t="b">
        <v>0</v>
      </c>
      <c r="AJ62" s="16" t="b">
        <v>0</v>
      </c>
      <c r="AK62" s="16" t="b">
        <v>0</v>
      </c>
      <c r="AL62" s="16" t="b">
        <v>0</v>
      </c>
      <c r="AM62" s="7" t="str">
        <f>IF($B62="","",SUM(Task_Data!AM44:BQ44))</f>
        <v/>
      </c>
      <c r="AN62" s="7" t="str">
        <f t="shared" si="4"/>
        <v/>
      </c>
      <c r="AO62" s="12" t="str">
        <f t="shared" si="5"/>
        <v/>
      </c>
      <c r="AP62" s="7" t="str">
        <f>IF($B62="","",MIN(AQ62,COUNTIF(Task_Data!AM44:BQ44,1)))</f>
        <v/>
      </c>
      <c r="AQ62" s="7" t="str">
        <f>IF($B62="","",Task_Data!BT44)</f>
        <v/>
      </c>
      <c r="AR62" s="7" t="str" cm="1">
        <f t="array" ref="AR62">IF($B62="","",ROUND(AO62*60+_xlfn.SWITCH($C62,"High",25,"Medium",18,"Low",12,0)+IFERROR(AQ62/$BA$2,0)*15,1))</f>
        <v/>
      </c>
      <c r="AS62" s="3"/>
      <c r="AT62" s="3"/>
      <c r="AU62" s="3"/>
      <c r="AV62" s="3"/>
      <c r="AW62" s="3"/>
      <c r="AX62" s="3"/>
      <c r="AY62" s="3"/>
      <c r="AZ62" s="3"/>
    </row>
    <row r="63" spans="1:52" ht="24" customHeight="1">
      <c r="A63" s="3"/>
      <c r="B63" s="11"/>
      <c r="C63" s="19"/>
      <c r="D63" s="19"/>
      <c r="E63" s="19"/>
      <c r="F63" s="19"/>
      <c r="G63" s="11"/>
      <c r="H63" s="16" t="b">
        <v>0</v>
      </c>
      <c r="I63" s="16" t="b">
        <v>0</v>
      </c>
      <c r="J63" s="16" t="b">
        <v>0</v>
      </c>
      <c r="K63" s="16" t="b">
        <v>0</v>
      </c>
      <c r="L63" s="16" t="b">
        <v>0</v>
      </c>
      <c r="M63" s="16" t="b">
        <v>0</v>
      </c>
      <c r="N63" s="16" t="b">
        <v>0</v>
      </c>
      <c r="O63" s="16" t="b">
        <v>0</v>
      </c>
      <c r="P63" s="16" t="b">
        <v>0</v>
      </c>
      <c r="Q63" s="16" t="b">
        <v>0</v>
      </c>
      <c r="R63" s="16" t="b">
        <v>0</v>
      </c>
      <c r="S63" s="16" t="b">
        <v>0</v>
      </c>
      <c r="T63" s="16" t="b">
        <v>0</v>
      </c>
      <c r="U63" s="16" t="b">
        <v>0</v>
      </c>
      <c r="V63" s="16" t="b">
        <v>0</v>
      </c>
      <c r="W63" s="16" t="b">
        <v>0</v>
      </c>
      <c r="X63" s="16" t="b">
        <v>0</v>
      </c>
      <c r="Y63" s="16" t="b">
        <v>0</v>
      </c>
      <c r="Z63" s="16" t="b">
        <v>0</v>
      </c>
      <c r="AA63" s="16" t="b">
        <v>0</v>
      </c>
      <c r="AB63" s="16" t="b">
        <v>0</v>
      </c>
      <c r="AC63" s="16" t="b">
        <v>0</v>
      </c>
      <c r="AD63" s="16" t="b">
        <v>0</v>
      </c>
      <c r="AE63" s="16" t="b">
        <v>0</v>
      </c>
      <c r="AF63" s="16" t="b">
        <v>0</v>
      </c>
      <c r="AG63" s="16" t="b">
        <v>0</v>
      </c>
      <c r="AH63" s="16" t="b">
        <v>0</v>
      </c>
      <c r="AI63" s="16" t="b">
        <v>0</v>
      </c>
      <c r="AJ63" s="16" t="b">
        <v>0</v>
      </c>
      <c r="AK63" s="16" t="b">
        <v>0</v>
      </c>
      <c r="AL63" s="16" t="b">
        <v>0</v>
      </c>
      <c r="AM63" s="7" t="str">
        <f>IF($B63="","",SUM(Task_Data!AM45:BQ45))</f>
        <v/>
      </c>
      <c r="AN63" s="7" t="str">
        <f t="shared" si="4"/>
        <v/>
      </c>
      <c r="AO63" s="12" t="str">
        <f t="shared" si="5"/>
        <v/>
      </c>
      <c r="AP63" s="7" t="str">
        <f>IF($B63="","",MIN(AQ63,COUNTIF(Task_Data!AM45:BQ45,1)))</f>
        <v/>
      </c>
      <c r="AQ63" s="7" t="str">
        <f>IF($B63="","",Task_Data!BT45)</f>
        <v/>
      </c>
      <c r="AR63" s="7" t="str" cm="1">
        <f t="array" ref="AR63">IF($B63="","",ROUND(AO63*60+_xlfn.SWITCH($C63,"High",25,"Medium",18,"Low",12,0)+IFERROR(AQ63/$BA$2,0)*15,1))</f>
        <v/>
      </c>
      <c r="AS63" s="3"/>
      <c r="AT63" s="3"/>
      <c r="AU63" s="3"/>
      <c r="AV63" s="3"/>
      <c r="AW63" s="3"/>
      <c r="AX63" s="3"/>
      <c r="AY63" s="3"/>
      <c r="AZ63" s="3"/>
    </row>
    <row r="64" spans="1:52" ht="24" customHeight="1">
      <c r="A64" s="3"/>
      <c r="B64" s="11"/>
      <c r="C64" s="19"/>
      <c r="D64" s="19"/>
      <c r="E64" s="19"/>
      <c r="F64" s="19"/>
      <c r="G64" s="11"/>
      <c r="H64" s="16" t="b">
        <v>0</v>
      </c>
      <c r="I64" s="16" t="b">
        <v>0</v>
      </c>
      <c r="J64" s="16" t="b">
        <v>0</v>
      </c>
      <c r="K64" s="16" t="b">
        <v>0</v>
      </c>
      <c r="L64" s="16" t="b">
        <v>0</v>
      </c>
      <c r="M64" s="16" t="b">
        <v>0</v>
      </c>
      <c r="N64" s="16" t="b">
        <v>0</v>
      </c>
      <c r="O64" s="16" t="b">
        <v>0</v>
      </c>
      <c r="P64" s="16" t="b">
        <v>0</v>
      </c>
      <c r="Q64" s="16" t="b">
        <v>0</v>
      </c>
      <c r="R64" s="16" t="b">
        <v>0</v>
      </c>
      <c r="S64" s="16" t="b">
        <v>0</v>
      </c>
      <c r="T64" s="16" t="b">
        <v>0</v>
      </c>
      <c r="U64" s="16" t="b">
        <v>0</v>
      </c>
      <c r="V64" s="16" t="b">
        <v>0</v>
      </c>
      <c r="W64" s="16" t="b">
        <v>0</v>
      </c>
      <c r="X64" s="16" t="b">
        <v>0</v>
      </c>
      <c r="Y64" s="16" t="b">
        <v>0</v>
      </c>
      <c r="Z64" s="16" t="b">
        <v>0</v>
      </c>
      <c r="AA64" s="16" t="b">
        <v>0</v>
      </c>
      <c r="AB64" s="16" t="b">
        <v>0</v>
      </c>
      <c r="AC64" s="16" t="b">
        <v>0</v>
      </c>
      <c r="AD64" s="16" t="b">
        <v>0</v>
      </c>
      <c r="AE64" s="16" t="b">
        <v>0</v>
      </c>
      <c r="AF64" s="16" t="b">
        <v>0</v>
      </c>
      <c r="AG64" s="16" t="b">
        <v>0</v>
      </c>
      <c r="AH64" s="16" t="b">
        <v>0</v>
      </c>
      <c r="AI64" s="16" t="b">
        <v>0</v>
      </c>
      <c r="AJ64" s="16" t="b">
        <v>0</v>
      </c>
      <c r="AK64" s="16" t="b">
        <v>0</v>
      </c>
      <c r="AL64" s="16" t="b">
        <v>0</v>
      </c>
      <c r="AM64" s="7" t="str">
        <f>IF($B64="","",SUM(Task_Data!AM46:BQ46))</f>
        <v/>
      </c>
      <c r="AN64" s="7" t="str">
        <f t="shared" si="4"/>
        <v/>
      </c>
      <c r="AO64" s="12" t="str">
        <f t="shared" si="5"/>
        <v/>
      </c>
      <c r="AP64" s="7" t="str">
        <f>IF($B64="","",MIN(AQ64,COUNTIF(Task_Data!AM46:BQ46,1)))</f>
        <v/>
      </c>
      <c r="AQ64" s="7" t="str">
        <f>IF($B64="","",Task_Data!BT46)</f>
        <v/>
      </c>
      <c r="AR64" s="7" t="str" cm="1">
        <f t="array" ref="AR64">IF($B64="","",ROUND(AO64*60+_xlfn.SWITCH($C64,"High",25,"Medium",18,"Low",12,0)+IFERROR(AQ64/$BA$2,0)*15,1))</f>
        <v/>
      </c>
      <c r="AS64" s="3"/>
      <c r="AT64" s="3"/>
      <c r="AU64" s="3"/>
      <c r="AV64" s="3"/>
      <c r="AW64" s="3"/>
      <c r="AX64" s="3"/>
      <c r="AY64" s="3"/>
      <c r="AZ64" s="3"/>
    </row>
    <row r="65" spans="1:52" ht="24" customHeight="1">
      <c r="A65" s="3"/>
      <c r="B65" s="11"/>
      <c r="C65" s="19"/>
      <c r="D65" s="19"/>
      <c r="E65" s="19"/>
      <c r="F65" s="19"/>
      <c r="G65" s="11"/>
      <c r="H65" s="16" t="b">
        <v>0</v>
      </c>
      <c r="I65" s="16" t="b">
        <v>0</v>
      </c>
      <c r="J65" s="16" t="b">
        <v>0</v>
      </c>
      <c r="K65" s="16" t="b">
        <v>0</v>
      </c>
      <c r="L65" s="16" t="b">
        <v>0</v>
      </c>
      <c r="M65" s="16" t="b">
        <v>0</v>
      </c>
      <c r="N65" s="16" t="b">
        <v>0</v>
      </c>
      <c r="O65" s="16" t="b">
        <v>0</v>
      </c>
      <c r="P65" s="16" t="b">
        <v>0</v>
      </c>
      <c r="Q65" s="16" t="b">
        <v>0</v>
      </c>
      <c r="R65" s="16" t="b">
        <v>0</v>
      </c>
      <c r="S65" s="16" t="b">
        <v>0</v>
      </c>
      <c r="T65" s="16" t="b">
        <v>0</v>
      </c>
      <c r="U65" s="16" t="b">
        <v>0</v>
      </c>
      <c r="V65" s="16" t="b">
        <v>0</v>
      </c>
      <c r="W65" s="16" t="b">
        <v>0</v>
      </c>
      <c r="X65" s="16" t="b">
        <v>0</v>
      </c>
      <c r="Y65" s="16" t="b">
        <v>0</v>
      </c>
      <c r="Z65" s="16" t="b">
        <v>0</v>
      </c>
      <c r="AA65" s="16" t="b">
        <v>0</v>
      </c>
      <c r="AB65" s="16" t="b">
        <v>0</v>
      </c>
      <c r="AC65" s="16" t="b">
        <v>0</v>
      </c>
      <c r="AD65" s="16" t="b">
        <v>0</v>
      </c>
      <c r="AE65" s="16" t="b">
        <v>0</v>
      </c>
      <c r="AF65" s="16" t="b">
        <v>0</v>
      </c>
      <c r="AG65" s="16" t="b">
        <v>0</v>
      </c>
      <c r="AH65" s="16" t="b">
        <v>0</v>
      </c>
      <c r="AI65" s="16" t="b">
        <v>0</v>
      </c>
      <c r="AJ65" s="16" t="b">
        <v>0</v>
      </c>
      <c r="AK65" s="16" t="b">
        <v>0</v>
      </c>
      <c r="AL65" s="16" t="b">
        <v>0</v>
      </c>
      <c r="AM65" s="7" t="str">
        <f>IF($B65="","",SUM(Task_Data!AM47:BQ47))</f>
        <v/>
      </c>
      <c r="AN65" s="7" t="str">
        <f t="shared" si="4"/>
        <v/>
      </c>
      <c r="AO65" s="12" t="str">
        <f t="shared" si="5"/>
        <v/>
      </c>
      <c r="AP65" s="7" t="str">
        <f>IF($B65="","",MIN(AQ65,COUNTIF(Task_Data!AM47:BQ47,1)))</f>
        <v/>
      </c>
      <c r="AQ65" s="7" t="str">
        <f>IF($B65="","",Task_Data!BT47)</f>
        <v/>
      </c>
      <c r="AR65" s="7" t="str" cm="1">
        <f t="array" ref="AR65">IF($B65="","",ROUND(AO65*60+_xlfn.SWITCH($C65,"High",25,"Medium",18,"Low",12,0)+IFERROR(AQ65/$BA$2,0)*15,1))</f>
        <v/>
      </c>
      <c r="AS65" s="3"/>
      <c r="AT65" s="3"/>
      <c r="AU65" s="3"/>
      <c r="AV65" s="3"/>
      <c r="AW65" s="3"/>
      <c r="AX65" s="3"/>
      <c r="AY65" s="3"/>
      <c r="AZ65" s="3"/>
    </row>
    <row r="66" spans="1:52" ht="24" customHeight="1">
      <c r="A66" s="3"/>
      <c r="B66" s="11"/>
      <c r="C66" s="19"/>
      <c r="D66" s="19"/>
      <c r="E66" s="19"/>
      <c r="F66" s="19"/>
      <c r="G66" s="11"/>
      <c r="H66" s="16" t="b">
        <v>0</v>
      </c>
      <c r="I66" s="16" t="b">
        <v>0</v>
      </c>
      <c r="J66" s="16" t="b">
        <v>0</v>
      </c>
      <c r="K66" s="16" t="b">
        <v>0</v>
      </c>
      <c r="L66" s="16" t="b">
        <v>0</v>
      </c>
      <c r="M66" s="16" t="b">
        <v>0</v>
      </c>
      <c r="N66" s="16" t="b">
        <v>0</v>
      </c>
      <c r="O66" s="16" t="b">
        <v>0</v>
      </c>
      <c r="P66" s="16" t="b">
        <v>0</v>
      </c>
      <c r="Q66" s="16" t="b">
        <v>0</v>
      </c>
      <c r="R66" s="16" t="b">
        <v>0</v>
      </c>
      <c r="S66" s="16" t="b">
        <v>0</v>
      </c>
      <c r="T66" s="16" t="b">
        <v>0</v>
      </c>
      <c r="U66" s="16" t="b">
        <v>0</v>
      </c>
      <c r="V66" s="16" t="b">
        <v>0</v>
      </c>
      <c r="W66" s="16" t="b">
        <v>0</v>
      </c>
      <c r="X66" s="16" t="b">
        <v>0</v>
      </c>
      <c r="Y66" s="16" t="b">
        <v>0</v>
      </c>
      <c r="Z66" s="16" t="b">
        <v>0</v>
      </c>
      <c r="AA66" s="16" t="b">
        <v>0</v>
      </c>
      <c r="AB66" s="16" t="b">
        <v>0</v>
      </c>
      <c r="AC66" s="16" t="b">
        <v>0</v>
      </c>
      <c r="AD66" s="16" t="b">
        <v>0</v>
      </c>
      <c r="AE66" s="16" t="b">
        <v>0</v>
      </c>
      <c r="AF66" s="16" t="b">
        <v>0</v>
      </c>
      <c r="AG66" s="16" t="b">
        <v>0</v>
      </c>
      <c r="AH66" s="16" t="b">
        <v>0</v>
      </c>
      <c r="AI66" s="16" t="b">
        <v>0</v>
      </c>
      <c r="AJ66" s="16" t="b">
        <v>0</v>
      </c>
      <c r="AK66" s="16" t="b">
        <v>0</v>
      </c>
      <c r="AL66" s="16" t="b">
        <v>0</v>
      </c>
      <c r="AM66" s="7" t="str">
        <f>IF($B66="","",SUM(Task_Data!AM48:BQ48))</f>
        <v/>
      </c>
      <c r="AN66" s="7" t="str">
        <f t="shared" si="4"/>
        <v/>
      </c>
      <c r="AO66" s="12" t="str">
        <f t="shared" si="5"/>
        <v/>
      </c>
      <c r="AP66" s="7" t="str">
        <f>IF($B66="","",MIN(AQ66,COUNTIF(Task_Data!AM48:BQ48,1)))</f>
        <v/>
      </c>
      <c r="AQ66" s="7" t="str">
        <f>IF($B66="","",Task_Data!BT48)</f>
        <v/>
      </c>
      <c r="AR66" s="7" t="str" cm="1">
        <f t="array" ref="AR66">IF($B66="","",ROUND(AO66*60+_xlfn.SWITCH($C66,"High",25,"Medium",18,"Low",12,0)+IFERROR(AQ66/$BA$2,0)*15,1))</f>
        <v/>
      </c>
      <c r="AS66" s="3"/>
      <c r="AT66" s="3"/>
      <c r="AU66" s="3"/>
      <c r="AV66" s="3"/>
      <c r="AW66" s="3"/>
      <c r="AX66" s="3"/>
      <c r="AY66" s="3"/>
      <c r="AZ66" s="3"/>
    </row>
    <row r="67" spans="1:52" ht="24" customHeight="1">
      <c r="A67" s="3"/>
      <c r="B67" s="11"/>
      <c r="C67" s="19"/>
      <c r="D67" s="19"/>
      <c r="E67" s="19"/>
      <c r="F67" s="19"/>
      <c r="G67" s="11"/>
      <c r="H67" s="16" t="b">
        <v>0</v>
      </c>
      <c r="I67" s="16" t="b">
        <v>0</v>
      </c>
      <c r="J67" s="16" t="b">
        <v>0</v>
      </c>
      <c r="K67" s="16" t="b">
        <v>0</v>
      </c>
      <c r="L67" s="16" t="b">
        <v>0</v>
      </c>
      <c r="M67" s="16" t="b">
        <v>0</v>
      </c>
      <c r="N67" s="16" t="b">
        <v>0</v>
      </c>
      <c r="O67" s="16" t="b">
        <v>0</v>
      </c>
      <c r="P67" s="16" t="b">
        <v>0</v>
      </c>
      <c r="Q67" s="16" t="b">
        <v>0</v>
      </c>
      <c r="R67" s="16" t="b">
        <v>0</v>
      </c>
      <c r="S67" s="16" t="b">
        <v>0</v>
      </c>
      <c r="T67" s="16" t="b">
        <v>0</v>
      </c>
      <c r="U67" s="16" t="b">
        <v>0</v>
      </c>
      <c r="V67" s="16" t="b">
        <v>0</v>
      </c>
      <c r="W67" s="16" t="b">
        <v>0</v>
      </c>
      <c r="X67" s="16" t="b">
        <v>0</v>
      </c>
      <c r="Y67" s="16" t="b">
        <v>0</v>
      </c>
      <c r="Z67" s="16" t="b">
        <v>0</v>
      </c>
      <c r="AA67" s="16" t="b">
        <v>0</v>
      </c>
      <c r="AB67" s="16" t="b">
        <v>0</v>
      </c>
      <c r="AC67" s="16" t="b">
        <v>0</v>
      </c>
      <c r="AD67" s="16" t="b">
        <v>0</v>
      </c>
      <c r="AE67" s="16" t="b">
        <v>0</v>
      </c>
      <c r="AF67" s="16" t="b">
        <v>0</v>
      </c>
      <c r="AG67" s="16" t="b">
        <v>0</v>
      </c>
      <c r="AH67" s="16" t="b">
        <v>0</v>
      </c>
      <c r="AI67" s="16" t="b">
        <v>0</v>
      </c>
      <c r="AJ67" s="16" t="b">
        <v>0</v>
      </c>
      <c r="AK67" s="16" t="b">
        <v>0</v>
      </c>
      <c r="AL67" s="16" t="b">
        <v>0</v>
      </c>
      <c r="AM67" s="7" t="str">
        <f>IF($B67="","",SUM(Task_Data!AM49:BQ49))</f>
        <v/>
      </c>
      <c r="AN67" s="7" t="str">
        <f t="shared" si="4"/>
        <v/>
      </c>
      <c r="AO67" s="12" t="str">
        <f t="shared" si="5"/>
        <v/>
      </c>
      <c r="AP67" s="7" t="str">
        <f>IF($B67="","",MIN(AQ67,COUNTIF(Task_Data!AM49:BQ49,1)))</f>
        <v/>
      </c>
      <c r="AQ67" s="7" t="str">
        <f>IF($B67="","",Task_Data!BT49)</f>
        <v/>
      </c>
      <c r="AR67" s="7" t="str" cm="1">
        <f t="array" ref="AR67">IF($B67="","",ROUND(AO67*60+_xlfn.SWITCH($C67,"High",25,"Medium",18,"Low",12,0)+IFERROR(AQ67/$BA$2,0)*15,1))</f>
        <v/>
      </c>
      <c r="AS67" s="3"/>
      <c r="AT67" s="3"/>
      <c r="AU67" s="3"/>
      <c r="AV67" s="3"/>
      <c r="AW67" s="3"/>
      <c r="AX67" s="3"/>
      <c r="AY67" s="3"/>
      <c r="AZ67" s="3"/>
    </row>
    <row r="68" spans="1:52" ht="24" customHeight="1">
      <c r="A68" s="3"/>
      <c r="B68" s="11"/>
      <c r="C68" s="19"/>
      <c r="D68" s="19"/>
      <c r="E68" s="19"/>
      <c r="F68" s="19"/>
      <c r="G68" s="11"/>
      <c r="H68" s="16" t="b">
        <v>0</v>
      </c>
      <c r="I68" s="16" t="b">
        <v>0</v>
      </c>
      <c r="J68" s="16" t="b">
        <v>0</v>
      </c>
      <c r="K68" s="16" t="b">
        <v>0</v>
      </c>
      <c r="L68" s="16" t="b">
        <v>0</v>
      </c>
      <c r="M68" s="16" t="b">
        <v>0</v>
      </c>
      <c r="N68" s="16" t="b">
        <v>0</v>
      </c>
      <c r="O68" s="16" t="b">
        <v>0</v>
      </c>
      <c r="P68" s="16" t="b">
        <v>0</v>
      </c>
      <c r="Q68" s="16" t="b">
        <v>0</v>
      </c>
      <c r="R68" s="16" t="b">
        <v>0</v>
      </c>
      <c r="S68" s="16" t="b">
        <v>0</v>
      </c>
      <c r="T68" s="16" t="b">
        <v>0</v>
      </c>
      <c r="U68" s="16" t="b">
        <v>0</v>
      </c>
      <c r="V68" s="16" t="b">
        <v>0</v>
      </c>
      <c r="W68" s="16" t="b">
        <v>0</v>
      </c>
      <c r="X68" s="16" t="b">
        <v>0</v>
      </c>
      <c r="Y68" s="16" t="b">
        <v>0</v>
      </c>
      <c r="Z68" s="16" t="b">
        <v>0</v>
      </c>
      <c r="AA68" s="16" t="b">
        <v>0</v>
      </c>
      <c r="AB68" s="16" t="b">
        <v>0</v>
      </c>
      <c r="AC68" s="16" t="b">
        <v>0</v>
      </c>
      <c r="AD68" s="16" t="b">
        <v>0</v>
      </c>
      <c r="AE68" s="16" t="b">
        <v>0</v>
      </c>
      <c r="AF68" s="16" t="b">
        <v>0</v>
      </c>
      <c r="AG68" s="16" t="b">
        <v>0</v>
      </c>
      <c r="AH68" s="16" t="b">
        <v>0</v>
      </c>
      <c r="AI68" s="16" t="b">
        <v>0</v>
      </c>
      <c r="AJ68" s="16" t="b">
        <v>0</v>
      </c>
      <c r="AK68" s="16" t="b">
        <v>0</v>
      </c>
      <c r="AL68" s="16" t="b">
        <v>0</v>
      </c>
      <c r="AM68" s="7" t="str">
        <f>IF($B68="","",SUM(Task_Data!AM50:BQ50))</f>
        <v/>
      </c>
      <c r="AN68" s="7" t="str">
        <f t="shared" si="4"/>
        <v/>
      </c>
      <c r="AO68" s="12" t="str">
        <f t="shared" si="5"/>
        <v/>
      </c>
      <c r="AP68" s="7" t="str">
        <f>IF($B68="","",MIN(AQ68,COUNTIF(Task_Data!AM50:BQ50,1)))</f>
        <v/>
      </c>
      <c r="AQ68" s="7" t="str">
        <f>IF($B68="","",Task_Data!BT50)</f>
        <v/>
      </c>
      <c r="AR68" s="7" t="str" cm="1">
        <f t="array" ref="AR68">IF($B68="","",ROUND(AO68*60+_xlfn.SWITCH($C68,"High",25,"Medium",18,"Low",12,0)+IFERROR(AQ68/$BA$2,0)*15,1))</f>
        <v/>
      </c>
      <c r="AS68" s="3"/>
      <c r="AT68" s="3"/>
      <c r="AU68" s="3"/>
      <c r="AV68" s="3"/>
      <c r="AW68" s="3"/>
      <c r="AX68" s="3"/>
      <c r="AY68" s="3"/>
      <c r="AZ68" s="3"/>
    </row>
    <row r="69" spans="1:52" ht="24" customHeight="1">
      <c r="A69" s="3"/>
      <c r="B69" s="11"/>
      <c r="C69" s="19"/>
      <c r="D69" s="19"/>
      <c r="E69" s="19"/>
      <c r="F69" s="19"/>
      <c r="G69" s="11"/>
      <c r="H69" s="16" t="b">
        <v>0</v>
      </c>
      <c r="I69" s="16" t="b">
        <v>0</v>
      </c>
      <c r="J69" s="16" t="b">
        <v>0</v>
      </c>
      <c r="K69" s="16" t="b">
        <v>0</v>
      </c>
      <c r="L69" s="16" t="b">
        <v>0</v>
      </c>
      <c r="M69" s="16" t="b">
        <v>0</v>
      </c>
      <c r="N69" s="16" t="b">
        <v>0</v>
      </c>
      <c r="O69" s="16" t="b">
        <v>0</v>
      </c>
      <c r="P69" s="16" t="b">
        <v>0</v>
      </c>
      <c r="Q69" s="16" t="b">
        <v>0</v>
      </c>
      <c r="R69" s="16" t="b">
        <v>0</v>
      </c>
      <c r="S69" s="16" t="b">
        <v>0</v>
      </c>
      <c r="T69" s="16" t="b">
        <v>0</v>
      </c>
      <c r="U69" s="16" t="b">
        <v>0</v>
      </c>
      <c r="V69" s="16" t="b">
        <v>0</v>
      </c>
      <c r="W69" s="16" t="b">
        <v>0</v>
      </c>
      <c r="X69" s="16" t="b">
        <v>0</v>
      </c>
      <c r="Y69" s="16" t="b">
        <v>0</v>
      </c>
      <c r="Z69" s="16" t="b">
        <v>0</v>
      </c>
      <c r="AA69" s="16" t="b">
        <v>0</v>
      </c>
      <c r="AB69" s="16" t="b">
        <v>0</v>
      </c>
      <c r="AC69" s="16" t="b">
        <v>0</v>
      </c>
      <c r="AD69" s="16" t="b">
        <v>0</v>
      </c>
      <c r="AE69" s="16" t="b">
        <v>0</v>
      </c>
      <c r="AF69" s="16" t="b">
        <v>0</v>
      </c>
      <c r="AG69" s="16" t="b">
        <v>0</v>
      </c>
      <c r="AH69" s="16" t="b">
        <v>0</v>
      </c>
      <c r="AI69" s="16" t="b">
        <v>0</v>
      </c>
      <c r="AJ69" s="16" t="b">
        <v>0</v>
      </c>
      <c r="AK69" s="16" t="b">
        <v>0</v>
      </c>
      <c r="AL69" s="16" t="b">
        <v>0</v>
      </c>
      <c r="AM69" s="7" t="str">
        <f>IF($B69="","",SUM(Task_Data!AM51:BQ51))</f>
        <v/>
      </c>
      <c r="AN69" s="7" t="str">
        <f t="shared" si="4"/>
        <v/>
      </c>
      <c r="AO69" s="12" t="str">
        <f t="shared" si="5"/>
        <v/>
      </c>
      <c r="AP69" s="7" t="str">
        <f>IF($B69="","",MIN(AQ69,COUNTIF(Task_Data!AM51:BQ51,1)))</f>
        <v/>
      </c>
      <c r="AQ69" s="7" t="str">
        <f>IF($B69="","",Task_Data!BT51)</f>
        <v/>
      </c>
      <c r="AR69" s="7" t="str" cm="1">
        <f t="array" ref="AR69">IF($B69="","",ROUND(AO69*60+_xlfn.SWITCH($C69,"High",25,"Medium",18,"Low",12,0)+IFERROR(AQ69/$BA$2,0)*15,1))</f>
        <v/>
      </c>
      <c r="AS69" s="3"/>
      <c r="AT69" s="3"/>
      <c r="AU69" s="3"/>
      <c r="AV69" s="3"/>
      <c r="AW69" s="3"/>
      <c r="AX69" s="3"/>
      <c r="AY69" s="3"/>
      <c r="AZ69" s="3"/>
    </row>
    <row r="70" spans="1:52" ht="20.100000000000001" customHeight="1">
      <c r="A70" s="3"/>
      <c r="B70" s="3"/>
      <c r="C70" s="3"/>
      <c r="D70" s="3"/>
      <c r="E70" s="3"/>
      <c r="F70" s="1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ht="20.100000000000001" customHeight="1">
      <c r="A71" s="3"/>
      <c r="B71" s="29" t="s">
        <v>53</v>
      </c>
      <c r="C71" s="30"/>
      <c r="D71" s="30"/>
      <c r="E71" s="30"/>
      <c r="F71" s="31"/>
      <c r="G71" s="29" t="s">
        <v>54</v>
      </c>
      <c r="H71" s="30"/>
      <c r="I71" s="30"/>
      <c r="J71" s="31"/>
      <c r="K71" s="29" t="s">
        <v>55</v>
      </c>
      <c r="L71" s="30"/>
      <c r="M71" s="30"/>
      <c r="N71" s="30"/>
      <c r="O71" s="30"/>
      <c r="P71" s="30"/>
      <c r="Q71" s="31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20.100000000000001" customHeight="1">
      <c r="A72" s="3"/>
      <c r="B72" s="34"/>
      <c r="C72" s="34"/>
      <c r="D72" s="34"/>
      <c r="E72" s="34"/>
      <c r="F72" s="34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ht="20.100000000000001" customHeight="1">
      <c r="A73" s="3"/>
      <c r="B73" s="34"/>
      <c r="C73" s="34"/>
      <c r="D73" s="34"/>
      <c r="E73" s="34"/>
      <c r="F73" s="34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ht="20.100000000000001" customHeight="1">
      <c r="A74" s="3"/>
      <c r="B74" s="34"/>
      <c r="C74" s="34"/>
      <c r="D74" s="34"/>
      <c r="E74" s="34"/>
      <c r="F74" s="34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ht="20.100000000000001" customHeight="1">
      <c r="A75" s="3"/>
      <c r="B75" s="34"/>
      <c r="C75" s="34"/>
      <c r="D75" s="34"/>
      <c r="E75" s="34"/>
      <c r="F75" s="34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ht="20.100000000000001" customHeight="1">
      <c r="A76" s="3"/>
      <c r="B76" s="34"/>
      <c r="C76" s="34"/>
      <c r="D76" s="34"/>
      <c r="E76" s="34"/>
      <c r="F76" s="34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ht="20.100000000000001" customHeight="1">
      <c r="A77" s="3"/>
      <c r="B77" s="34"/>
      <c r="C77" s="34"/>
      <c r="D77" s="34"/>
      <c r="E77" s="34"/>
      <c r="F77" s="34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ht="20.100000000000001" customHeight="1">
      <c r="A78" s="3"/>
      <c r="B78" s="34"/>
      <c r="C78" s="34"/>
      <c r="D78" s="34"/>
      <c r="E78" s="34"/>
      <c r="F78" s="34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ht="20.100000000000001" customHeight="1">
      <c r="A79" s="3"/>
      <c r="B79" s="34"/>
      <c r="C79" s="34"/>
      <c r="D79" s="34"/>
      <c r="E79" s="34"/>
      <c r="F79" s="34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ht="20.100000000000001" customHeight="1">
      <c r="A80" s="3"/>
      <c r="B80" s="34"/>
      <c r="C80" s="34"/>
      <c r="D80" s="34"/>
      <c r="E80" s="34"/>
      <c r="F80" s="34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20.100000000000001" customHeight="1">
      <c r="A81" s="3"/>
      <c r="B81" s="34"/>
      <c r="C81" s="34"/>
      <c r="D81" s="34"/>
      <c r="E81" s="34"/>
      <c r="F81" s="34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ht="20.100000000000001" customHeight="1">
      <c r="A82" s="3"/>
      <c r="B82" s="34"/>
      <c r="C82" s="34"/>
      <c r="D82" s="34"/>
      <c r="E82" s="34"/>
      <c r="F82" s="34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ht="20.100000000000001" customHeight="1">
      <c r="A83" s="3"/>
      <c r="B83" s="34"/>
      <c r="C83" s="34"/>
      <c r="D83" s="34"/>
      <c r="E83" s="34"/>
      <c r="F83" s="34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ht="20.10000000000000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ht="20.10000000000000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ht="20.10000000000000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20.10000000000000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ht="20.10000000000000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ht="20.10000000000000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ht="20.10000000000000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ht="20.10000000000000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ht="20.10000000000000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ht="20.10000000000000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ht="20.10000000000000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ht="20.10000000000000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ht="20.10000000000000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ht="20.10000000000000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ht="20.10000000000000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ht="20.10000000000000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ht="20.10000000000000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ht="20.10000000000000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ht="20.10000000000000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ht="20.10000000000000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ht="20.10000000000000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ht="20.10000000000000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ht="20.10000000000000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ht="20.10000000000000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ht="20.10000000000000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ht="20.10000000000000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ht="20.10000000000000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ht="20.10000000000000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ht="20.10000000000000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ht="20.10000000000000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ht="20.10000000000000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ht="20.10000000000000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ht="20.10000000000000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ht="20.10000000000000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ht="20.10000000000000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ht="20.10000000000000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ht="20.10000000000000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</sheetData>
  <mergeCells count="22">
    <mergeCell ref="B72:F83"/>
    <mergeCell ref="B8:C9"/>
    <mergeCell ref="E8:G9"/>
    <mergeCell ref="H8:I9"/>
    <mergeCell ref="K8:M9"/>
    <mergeCell ref="K12:M13"/>
    <mergeCell ref="H12:J13"/>
    <mergeCell ref="E12:G13"/>
    <mergeCell ref="B12:C13"/>
    <mergeCell ref="B71:F71"/>
    <mergeCell ref="G71:J71"/>
    <mergeCell ref="K71:Q71"/>
    <mergeCell ref="B2:Q3"/>
    <mergeCell ref="N8:P9"/>
    <mergeCell ref="N12:P13"/>
    <mergeCell ref="B4:E4"/>
    <mergeCell ref="G4:Q6"/>
    <mergeCell ref="AT7:AX7"/>
    <mergeCell ref="AT23:AX23"/>
    <mergeCell ref="AT33:AX33"/>
    <mergeCell ref="G72:J83"/>
    <mergeCell ref="K72:Q83"/>
  </mergeCells>
  <conditionalFormatting sqref="H17:AL18 J19:AL69">
    <cfRule type="expression" dxfId="9" priority="3">
      <formula>H$16=""</formula>
    </cfRule>
    <cfRule type="expression" dxfId="8" priority="4">
      <formula>H$16=TODAY()</formula>
    </cfRule>
    <cfRule type="expression" dxfId="7" priority="5">
      <formula>AND(H$16&lt;&gt;"",WEEKDAY(H$16,2)&gt;5)</formula>
    </cfRule>
  </conditionalFormatting>
  <conditionalFormatting sqref="J20:AL69">
    <cfRule type="expression" dxfId="6" priority="1">
      <formula>J20=TRUE</formula>
    </cfRule>
    <cfRule type="expression" dxfId="5" priority="2">
      <formula>AND(J20=FALSE,J$16&lt;TODAY(),J$16&lt;&gt;"",$B20&lt;&gt;"")</formula>
    </cfRule>
  </conditionalFormatting>
  <conditionalFormatting sqref="AO20:AO69">
    <cfRule type="dataBar" priority="6">
      <dataBar>
        <cfvo type="min"/>
        <cfvo type="max"/>
        <color rgb="FF86EFAC"/>
      </dataBar>
    </cfRule>
    <cfRule type="dataBar" priority="8">
      <dataBar>
        <cfvo type="min"/>
        <cfvo type="max"/>
        <color rgb="FF86EFAC"/>
      </dataBar>
      <extLst>
        <ext xmlns:x14="http://schemas.microsoft.com/office/spreadsheetml/2009/9/main" uri="{B025F937-C7B1-47D3-B67F-A62EFF666E3E}">
          <x14:id>{C5593AA7-0028-5BEA-E3E0-8178783C1A47}</x14:id>
        </ext>
      </extLst>
    </cfRule>
  </conditionalFormatting>
  <conditionalFormatting sqref="AR20:AR69">
    <cfRule type="colorScale" priority="7">
      <colorScale>
        <cfvo type="min"/>
        <cfvo type="percentile" val="50"/>
        <cfvo type="max"/>
        <color rgb="FFFCA5A5"/>
        <color rgb="FFFEF08A"/>
        <color rgb="FFBBF7D0"/>
      </colorScale>
    </cfRule>
  </conditionalFormatting>
  <conditionalFormatting sqref="H19:I69">
    <cfRule type="expression" dxfId="4" priority="31">
      <formula>D$16=""</formula>
    </cfRule>
    <cfRule type="expression" dxfId="3" priority="32">
      <formula>D$16=TODAY()</formula>
    </cfRule>
    <cfRule type="expression" dxfId="2" priority="33">
      <formula>AND(D$16&lt;&gt;"",WEEKDAY(D$16,2)&gt;5)</formula>
    </cfRule>
  </conditionalFormatting>
  <conditionalFormatting sqref="H20:I69">
    <cfRule type="expression" dxfId="1" priority="34">
      <formula>H20=TRUE</formula>
    </cfRule>
    <cfRule type="expression" dxfId="0" priority="35">
      <formula>AND(H20=FALSE,D$16&lt;TODAY(),D$16&lt;&gt;"",$B20&lt;&gt;"")</formula>
    </cfRule>
  </conditionalFormatting>
  <dataValidations count="1">
    <dataValidation type="list" sqref="H20:AL69" xr:uid="{00000000-0002-0000-0000-000002000000}">
      <formula1>"TRUE,FALSE"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7</xdr:col>
                    <xdr:colOff>47625</xdr:colOff>
                    <xdr:row>19</xdr:row>
                    <xdr:rowOff>38100</xdr:rowOff>
                  </from>
                  <to>
                    <xdr:col>7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8</xdr:col>
                    <xdr:colOff>47625</xdr:colOff>
                    <xdr:row>19</xdr:row>
                    <xdr:rowOff>38100</xdr:rowOff>
                  </from>
                  <to>
                    <xdr:col>8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10</xdr:col>
                    <xdr:colOff>47625</xdr:colOff>
                    <xdr:row>19</xdr:row>
                    <xdr:rowOff>38100</xdr:rowOff>
                  </from>
                  <to>
                    <xdr:col>10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11</xdr:col>
                    <xdr:colOff>47625</xdr:colOff>
                    <xdr:row>19</xdr:row>
                    <xdr:rowOff>38100</xdr:rowOff>
                  </from>
                  <to>
                    <xdr:col>11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12</xdr:col>
                    <xdr:colOff>47625</xdr:colOff>
                    <xdr:row>19</xdr:row>
                    <xdr:rowOff>38100</xdr:rowOff>
                  </from>
                  <to>
                    <xdr:col>12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13</xdr:col>
                    <xdr:colOff>47625</xdr:colOff>
                    <xdr:row>19</xdr:row>
                    <xdr:rowOff>38100</xdr:rowOff>
                  </from>
                  <to>
                    <xdr:col>13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14</xdr:col>
                    <xdr:colOff>47625</xdr:colOff>
                    <xdr:row>19</xdr:row>
                    <xdr:rowOff>38100</xdr:rowOff>
                  </from>
                  <to>
                    <xdr:col>14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15</xdr:col>
                    <xdr:colOff>47625</xdr:colOff>
                    <xdr:row>19</xdr:row>
                    <xdr:rowOff>38100</xdr:rowOff>
                  </from>
                  <to>
                    <xdr:col>15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16</xdr:col>
                    <xdr:colOff>47625</xdr:colOff>
                    <xdr:row>19</xdr:row>
                    <xdr:rowOff>38100</xdr:rowOff>
                  </from>
                  <to>
                    <xdr:col>16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17</xdr:col>
                    <xdr:colOff>47625</xdr:colOff>
                    <xdr:row>19</xdr:row>
                    <xdr:rowOff>38100</xdr:rowOff>
                  </from>
                  <to>
                    <xdr:col>17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18</xdr:col>
                    <xdr:colOff>47625</xdr:colOff>
                    <xdr:row>19</xdr:row>
                    <xdr:rowOff>38100</xdr:rowOff>
                  </from>
                  <to>
                    <xdr:col>18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19</xdr:col>
                    <xdr:colOff>47625</xdr:colOff>
                    <xdr:row>19</xdr:row>
                    <xdr:rowOff>38100</xdr:rowOff>
                  </from>
                  <to>
                    <xdr:col>19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20</xdr:col>
                    <xdr:colOff>47625</xdr:colOff>
                    <xdr:row>19</xdr:row>
                    <xdr:rowOff>38100</xdr:rowOff>
                  </from>
                  <to>
                    <xdr:col>20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21</xdr:col>
                    <xdr:colOff>47625</xdr:colOff>
                    <xdr:row>19</xdr:row>
                    <xdr:rowOff>38100</xdr:rowOff>
                  </from>
                  <to>
                    <xdr:col>21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22</xdr:col>
                    <xdr:colOff>47625</xdr:colOff>
                    <xdr:row>19</xdr:row>
                    <xdr:rowOff>38100</xdr:rowOff>
                  </from>
                  <to>
                    <xdr:col>22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23</xdr:col>
                    <xdr:colOff>47625</xdr:colOff>
                    <xdr:row>19</xdr:row>
                    <xdr:rowOff>38100</xdr:rowOff>
                  </from>
                  <to>
                    <xdr:col>23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24</xdr:col>
                    <xdr:colOff>47625</xdr:colOff>
                    <xdr:row>19</xdr:row>
                    <xdr:rowOff>38100</xdr:rowOff>
                  </from>
                  <to>
                    <xdr:col>24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25</xdr:col>
                    <xdr:colOff>47625</xdr:colOff>
                    <xdr:row>19</xdr:row>
                    <xdr:rowOff>38100</xdr:rowOff>
                  </from>
                  <to>
                    <xdr:col>25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26</xdr:col>
                    <xdr:colOff>47625</xdr:colOff>
                    <xdr:row>19</xdr:row>
                    <xdr:rowOff>38100</xdr:rowOff>
                  </from>
                  <to>
                    <xdr:col>26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27</xdr:col>
                    <xdr:colOff>47625</xdr:colOff>
                    <xdr:row>19</xdr:row>
                    <xdr:rowOff>38100</xdr:rowOff>
                  </from>
                  <to>
                    <xdr:col>27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28</xdr:col>
                    <xdr:colOff>47625</xdr:colOff>
                    <xdr:row>19</xdr:row>
                    <xdr:rowOff>38100</xdr:rowOff>
                  </from>
                  <to>
                    <xdr:col>28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29</xdr:col>
                    <xdr:colOff>47625</xdr:colOff>
                    <xdr:row>19</xdr:row>
                    <xdr:rowOff>38100</xdr:rowOff>
                  </from>
                  <to>
                    <xdr:col>29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30</xdr:col>
                    <xdr:colOff>47625</xdr:colOff>
                    <xdr:row>19</xdr:row>
                    <xdr:rowOff>38100</xdr:rowOff>
                  </from>
                  <to>
                    <xdr:col>30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31</xdr:col>
                    <xdr:colOff>47625</xdr:colOff>
                    <xdr:row>19</xdr:row>
                    <xdr:rowOff>38100</xdr:rowOff>
                  </from>
                  <to>
                    <xdr:col>31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32</xdr:col>
                    <xdr:colOff>47625</xdr:colOff>
                    <xdr:row>19</xdr:row>
                    <xdr:rowOff>38100</xdr:rowOff>
                  </from>
                  <to>
                    <xdr:col>32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33</xdr:col>
                    <xdr:colOff>47625</xdr:colOff>
                    <xdr:row>19</xdr:row>
                    <xdr:rowOff>38100</xdr:rowOff>
                  </from>
                  <to>
                    <xdr:col>33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34</xdr:col>
                    <xdr:colOff>47625</xdr:colOff>
                    <xdr:row>19</xdr:row>
                    <xdr:rowOff>38100</xdr:rowOff>
                  </from>
                  <to>
                    <xdr:col>34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35</xdr:col>
                    <xdr:colOff>47625</xdr:colOff>
                    <xdr:row>19</xdr:row>
                    <xdr:rowOff>38100</xdr:rowOff>
                  </from>
                  <to>
                    <xdr:col>35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36</xdr:col>
                    <xdr:colOff>47625</xdr:colOff>
                    <xdr:row>19</xdr:row>
                    <xdr:rowOff>38100</xdr:rowOff>
                  </from>
                  <to>
                    <xdr:col>36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 moveWithCells="1">
                  <from>
                    <xdr:col>37</xdr:col>
                    <xdr:colOff>47625</xdr:colOff>
                    <xdr:row>19</xdr:row>
                    <xdr:rowOff>38100</xdr:rowOff>
                  </from>
                  <to>
                    <xdr:col>37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 moveWithCells="1">
                  <from>
                    <xdr:col>7</xdr:col>
                    <xdr:colOff>47625</xdr:colOff>
                    <xdr:row>20</xdr:row>
                    <xdr:rowOff>38100</xdr:rowOff>
                  </from>
                  <to>
                    <xdr:col>7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 moveWithCells="1">
                  <from>
                    <xdr:col>8</xdr:col>
                    <xdr:colOff>47625</xdr:colOff>
                    <xdr:row>20</xdr:row>
                    <xdr:rowOff>38100</xdr:rowOff>
                  </from>
                  <to>
                    <xdr:col>8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 moveWithCells="1">
                  <from>
                    <xdr:col>9</xdr:col>
                    <xdr:colOff>47625</xdr:colOff>
                    <xdr:row>20</xdr:row>
                    <xdr:rowOff>38100</xdr:rowOff>
                  </from>
                  <to>
                    <xdr:col>9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 moveWithCells="1">
                  <from>
                    <xdr:col>10</xdr:col>
                    <xdr:colOff>47625</xdr:colOff>
                    <xdr:row>20</xdr:row>
                    <xdr:rowOff>38100</xdr:rowOff>
                  </from>
                  <to>
                    <xdr:col>10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 moveWithCells="1">
                  <from>
                    <xdr:col>11</xdr:col>
                    <xdr:colOff>47625</xdr:colOff>
                    <xdr:row>20</xdr:row>
                    <xdr:rowOff>38100</xdr:rowOff>
                  </from>
                  <to>
                    <xdr:col>11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 moveWithCells="1">
                  <from>
                    <xdr:col>12</xdr:col>
                    <xdr:colOff>47625</xdr:colOff>
                    <xdr:row>20</xdr:row>
                    <xdr:rowOff>38100</xdr:rowOff>
                  </from>
                  <to>
                    <xdr:col>12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 moveWithCells="1">
                  <from>
                    <xdr:col>13</xdr:col>
                    <xdr:colOff>47625</xdr:colOff>
                    <xdr:row>20</xdr:row>
                    <xdr:rowOff>38100</xdr:rowOff>
                  </from>
                  <to>
                    <xdr:col>13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 moveWithCells="1">
                  <from>
                    <xdr:col>14</xdr:col>
                    <xdr:colOff>47625</xdr:colOff>
                    <xdr:row>20</xdr:row>
                    <xdr:rowOff>38100</xdr:rowOff>
                  </from>
                  <to>
                    <xdr:col>14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 moveWithCells="1">
                  <from>
                    <xdr:col>15</xdr:col>
                    <xdr:colOff>47625</xdr:colOff>
                    <xdr:row>20</xdr:row>
                    <xdr:rowOff>38100</xdr:rowOff>
                  </from>
                  <to>
                    <xdr:col>15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 moveWithCells="1">
                  <from>
                    <xdr:col>16</xdr:col>
                    <xdr:colOff>47625</xdr:colOff>
                    <xdr:row>20</xdr:row>
                    <xdr:rowOff>38100</xdr:rowOff>
                  </from>
                  <to>
                    <xdr:col>16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17</xdr:col>
                    <xdr:colOff>47625</xdr:colOff>
                    <xdr:row>20</xdr:row>
                    <xdr:rowOff>38100</xdr:rowOff>
                  </from>
                  <to>
                    <xdr:col>17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 moveWithCells="1">
                  <from>
                    <xdr:col>18</xdr:col>
                    <xdr:colOff>47625</xdr:colOff>
                    <xdr:row>20</xdr:row>
                    <xdr:rowOff>38100</xdr:rowOff>
                  </from>
                  <to>
                    <xdr:col>18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 moveWithCells="1">
                  <from>
                    <xdr:col>19</xdr:col>
                    <xdr:colOff>47625</xdr:colOff>
                    <xdr:row>20</xdr:row>
                    <xdr:rowOff>38100</xdr:rowOff>
                  </from>
                  <to>
                    <xdr:col>19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 moveWithCells="1">
                  <from>
                    <xdr:col>20</xdr:col>
                    <xdr:colOff>47625</xdr:colOff>
                    <xdr:row>20</xdr:row>
                    <xdr:rowOff>38100</xdr:rowOff>
                  </from>
                  <to>
                    <xdr:col>20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 moveWithCells="1">
                  <from>
                    <xdr:col>21</xdr:col>
                    <xdr:colOff>47625</xdr:colOff>
                    <xdr:row>20</xdr:row>
                    <xdr:rowOff>38100</xdr:rowOff>
                  </from>
                  <to>
                    <xdr:col>21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 moveWithCells="1">
                  <from>
                    <xdr:col>22</xdr:col>
                    <xdr:colOff>47625</xdr:colOff>
                    <xdr:row>20</xdr:row>
                    <xdr:rowOff>38100</xdr:rowOff>
                  </from>
                  <to>
                    <xdr:col>22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 moveWithCells="1">
                  <from>
                    <xdr:col>23</xdr:col>
                    <xdr:colOff>47625</xdr:colOff>
                    <xdr:row>20</xdr:row>
                    <xdr:rowOff>38100</xdr:rowOff>
                  </from>
                  <to>
                    <xdr:col>23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 moveWithCells="1">
                  <from>
                    <xdr:col>24</xdr:col>
                    <xdr:colOff>47625</xdr:colOff>
                    <xdr:row>20</xdr:row>
                    <xdr:rowOff>38100</xdr:rowOff>
                  </from>
                  <to>
                    <xdr:col>24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 moveWithCells="1">
                  <from>
                    <xdr:col>25</xdr:col>
                    <xdr:colOff>47625</xdr:colOff>
                    <xdr:row>20</xdr:row>
                    <xdr:rowOff>38100</xdr:rowOff>
                  </from>
                  <to>
                    <xdr:col>25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 moveWithCells="1">
                  <from>
                    <xdr:col>26</xdr:col>
                    <xdr:colOff>47625</xdr:colOff>
                    <xdr:row>20</xdr:row>
                    <xdr:rowOff>38100</xdr:rowOff>
                  </from>
                  <to>
                    <xdr:col>26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 moveWithCells="1">
                  <from>
                    <xdr:col>27</xdr:col>
                    <xdr:colOff>47625</xdr:colOff>
                    <xdr:row>20</xdr:row>
                    <xdr:rowOff>38100</xdr:rowOff>
                  </from>
                  <to>
                    <xdr:col>27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4" name="Check Box 53">
              <controlPr defaultSize="0" autoFill="0" autoLine="0" autoPict="0">
                <anchor moveWithCells="1">
                  <from>
                    <xdr:col>28</xdr:col>
                    <xdr:colOff>47625</xdr:colOff>
                    <xdr:row>20</xdr:row>
                    <xdr:rowOff>38100</xdr:rowOff>
                  </from>
                  <to>
                    <xdr:col>28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5" name="Check Box 54">
              <controlPr defaultSize="0" autoFill="0" autoLine="0" autoPict="0">
                <anchor moveWithCells="1">
                  <from>
                    <xdr:col>29</xdr:col>
                    <xdr:colOff>47625</xdr:colOff>
                    <xdr:row>20</xdr:row>
                    <xdr:rowOff>38100</xdr:rowOff>
                  </from>
                  <to>
                    <xdr:col>29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6" name="Check Box 55">
              <controlPr defaultSize="0" autoFill="0" autoLine="0" autoPict="0">
                <anchor moveWithCells="1">
                  <from>
                    <xdr:col>30</xdr:col>
                    <xdr:colOff>47625</xdr:colOff>
                    <xdr:row>20</xdr:row>
                    <xdr:rowOff>38100</xdr:rowOff>
                  </from>
                  <to>
                    <xdr:col>30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7" name="Check Box 56">
              <controlPr defaultSize="0" autoFill="0" autoLine="0" autoPict="0">
                <anchor moveWithCells="1">
                  <from>
                    <xdr:col>31</xdr:col>
                    <xdr:colOff>47625</xdr:colOff>
                    <xdr:row>20</xdr:row>
                    <xdr:rowOff>38100</xdr:rowOff>
                  </from>
                  <to>
                    <xdr:col>31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8" name="Check Box 57">
              <controlPr defaultSize="0" autoFill="0" autoLine="0" autoPict="0">
                <anchor moveWithCells="1">
                  <from>
                    <xdr:col>32</xdr:col>
                    <xdr:colOff>47625</xdr:colOff>
                    <xdr:row>20</xdr:row>
                    <xdr:rowOff>38100</xdr:rowOff>
                  </from>
                  <to>
                    <xdr:col>32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9" name="Check Box 58">
              <controlPr defaultSize="0" autoFill="0" autoLine="0" autoPict="0">
                <anchor moveWithCells="1">
                  <from>
                    <xdr:col>33</xdr:col>
                    <xdr:colOff>47625</xdr:colOff>
                    <xdr:row>20</xdr:row>
                    <xdr:rowOff>38100</xdr:rowOff>
                  </from>
                  <to>
                    <xdr:col>33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0" name="Check Box 59">
              <controlPr defaultSize="0" autoFill="0" autoLine="0" autoPict="0">
                <anchor moveWithCells="1">
                  <from>
                    <xdr:col>34</xdr:col>
                    <xdr:colOff>47625</xdr:colOff>
                    <xdr:row>20</xdr:row>
                    <xdr:rowOff>38100</xdr:rowOff>
                  </from>
                  <to>
                    <xdr:col>34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1" name="Check Box 60">
              <controlPr defaultSize="0" autoFill="0" autoLine="0" autoPict="0">
                <anchor moveWithCells="1">
                  <from>
                    <xdr:col>35</xdr:col>
                    <xdr:colOff>47625</xdr:colOff>
                    <xdr:row>20</xdr:row>
                    <xdr:rowOff>38100</xdr:rowOff>
                  </from>
                  <to>
                    <xdr:col>35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2" name="Check Box 61">
              <controlPr defaultSize="0" autoFill="0" autoLine="0" autoPict="0">
                <anchor moveWithCells="1">
                  <from>
                    <xdr:col>36</xdr:col>
                    <xdr:colOff>47625</xdr:colOff>
                    <xdr:row>20</xdr:row>
                    <xdr:rowOff>38100</xdr:rowOff>
                  </from>
                  <to>
                    <xdr:col>36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3" name="Check Box 62">
              <controlPr defaultSize="0" autoFill="0" autoLine="0" autoPict="0">
                <anchor moveWithCells="1">
                  <from>
                    <xdr:col>37</xdr:col>
                    <xdr:colOff>47625</xdr:colOff>
                    <xdr:row>20</xdr:row>
                    <xdr:rowOff>38100</xdr:rowOff>
                  </from>
                  <to>
                    <xdr:col>37</xdr:col>
                    <xdr:colOff>342900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4" name="Check Box 63">
              <controlPr defaultSize="0" autoFill="0" autoLine="0" autoPict="0">
                <anchor moveWithCells="1">
                  <from>
                    <xdr:col>7</xdr:col>
                    <xdr:colOff>47625</xdr:colOff>
                    <xdr:row>21</xdr:row>
                    <xdr:rowOff>38100</xdr:rowOff>
                  </from>
                  <to>
                    <xdr:col>7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5" name="Check Box 64">
              <controlPr defaultSize="0" autoFill="0" autoLine="0" autoPict="0">
                <anchor moveWithCells="1">
                  <from>
                    <xdr:col>8</xdr:col>
                    <xdr:colOff>47625</xdr:colOff>
                    <xdr:row>21</xdr:row>
                    <xdr:rowOff>38100</xdr:rowOff>
                  </from>
                  <to>
                    <xdr:col>8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6" name="Check Box 65">
              <controlPr defaultSize="0" autoFill="0" autoLine="0" autoPict="0">
                <anchor moveWithCells="1">
                  <from>
                    <xdr:col>9</xdr:col>
                    <xdr:colOff>47625</xdr:colOff>
                    <xdr:row>21</xdr:row>
                    <xdr:rowOff>38100</xdr:rowOff>
                  </from>
                  <to>
                    <xdr:col>9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7" name="Check Box 66">
              <controlPr defaultSize="0" autoFill="0" autoLine="0" autoPict="0">
                <anchor moveWithCells="1">
                  <from>
                    <xdr:col>10</xdr:col>
                    <xdr:colOff>47625</xdr:colOff>
                    <xdr:row>21</xdr:row>
                    <xdr:rowOff>38100</xdr:rowOff>
                  </from>
                  <to>
                    <xdr:col>10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8" name="Check Box 67">
              <controlPr defaultSize="0" autoFill="0" autoLine="0" autoPict="0">
                <anchor moveWithCells="1">
                  <from>
                    <xdr:col>11</xdr:col>
                    <xdr:colOff>47625</xdr:colOff>
                    <xdr:row>21</xdr:row>
                    <xdr:rowOff>38100</xdr:rowOff>
                  </from>
                  <to>
                    <xdr:col>11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9" name="Check Box 68">
              <controlPr defaultSize="0" autoFill="0" autoLine="0" autoPict="0">
                <anchor moveWithCells="1">
                  <from>
                    <xdr:col>12</xdr:col>
                    <xdr:colOff>47625</xdr:colOff>
                    <xdr:row>21</xdr:row>
                    <xdr:rowOff>38100</xdr:rowOff>
                  </from>
                  <to>
                    <xdr:col>12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0" name="Check Box 69">
              <controlPr defaultSize="0" autoFill="0" autoLine="0" autoPict="0">
                <anchor moveWithCells="1">
                  <from>
                    <xdr:col>13</xdr:col>
                    <xdr:colOff>47625</xdr:colOff>
                    <xdr:row>21</xdr:row>
                    <xdr:rowOff>38100</xdr:rowOff>
                  </from>
                  <to>
                    <xdr:col>13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1" name="Check Box 70">
              <controlPr defaultSize="0" autoFill="0" autoLine="0" autoPict="0">
                <anchor moveWithCells="1">
                  <from>
                    <xdr:col>14</xdr:col>
                    <xdr:colOff>47625</xdr:colOff>
                    <xdr:row>21</xdr:row>
                    <xdr:rowOff>38100</xdr:rowOff>
                  </from>
                  <to>
                    <xdr:col>14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2" name="Check Box 71">
              <controlPr defaultSize="0" autoFill="0" autoLine="0" autoPict="0">
                <anchor moveWithCells="1">
                  <from>
                    <xdr:col>15</xdr:col>
                    <xdr:colOff>47625</xdr:colOff>
                    <xdr:row>21</xdr:row>
                    <xdr:rowOff>38100</xdr:rowOff>
                  </from>
                  <to>
                    <xdr:col>15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3" name="Check Box 72">
              <controlPr defaultSize="0" autoFill="0" autoLine="0" autoPict="0">
                <anchor moveWithCells="1">
                  <from>
                    <xdr:col>16</xdr:col>
                    <xdr:colOff>47625</xdr:colOff>
                    <xdr:row>21</xdr:row>
                    <xdr:rowOff>38100</xdr:rowOff>
                  </from>
                  <to>
                    <xdr:col>16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4" name="Check Box 73">
              <controlPr defaultSize="0" autoFill="0" autoLine="0" autoPict="0">
                <anchor moveWithCells="1">
                  <from>
                    <xdr:col>17</xdr:col>
                    <xdr:colOff>47625</xdr:colOff>
                    <xdr:row>21</xdr:row>
                    <xdr:rowOff>38100</xdr:rowOff>
                  </from>
                  <to>
                    <xdr:col>17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5" name="Check Box 74">
              <controlPr defaultSize="0" autoFill="0" autoLine="0" autoPict="0">
                <anchor moveWithCells="1">
                  <from>
                    <xdr:col>18</xdr:col>
                    <xdr:colOff>47625</xdr:colOff>
                    <xdr:row>21</xdr:row>
                    <xdr:rowOff>38100</xdr:rowOff>
                  </from>
                  <to>
                    <xdr:col>18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6" name="Check Box 75">
              <controlPr defaultSize="0" autoFill="0" autoLine="0" autoPict="0">
                <anchor moveWithCells="1">
                  <from>
                    <xdr:col>19</xdr:col>
                    <xdr:colOff>47625</xdr:colOff>
                    <xdr:row>21</xdr:row>
                    <xdr:rowOff>38100</xdr:rowOff>
                  </from>
                  <to>
                    <xdr:col>19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7" name="Check Box 76">
              <controlPr defaultSize="0" autoFill="0" autoLine="0" autoPict="0">
                <anchor moveWithCells="1">
                  <from>
                    <xdr:col>20</xdr:col>
                    <xdr:colOff>47625</xdr:colOff>
                    <xdr:row>21</xdr:row>
                    <xdr:rowOff>38100</xdr:rowOff>
                  </from>
                  <to>
                    <xdr:col>20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8" name="Check Box 77">
              <controlPr defaultSize="0" autoFill="0" autoLine="0" autoPict="0">
                <anchor moveWithCells="1">
                  <from>
                    <xdr:col>21</xdr:col>
                    <xdr:colOff>47625</xdr:colOff>
                    <xdr:row>21</xdr:row>
                    <xdr:rowOff>38100</xdr:rowOff>
                  </from>
                  <to>
                    <xdr:col>21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9" name="Check Box 78">
              <controlPr defaultSize="0" autoFill="0" autoLine="0" autoPict="0">
                <anchor moveWithCells="1">
                  <from>
                    <xdr:col>22</xdr:col>
                    <xdr:colOff>47625</xdr:colOff>
                    <xdr:row>21</xdr:row>
                    <xdr:rowOff>38100</xdr:rowOff>
                  </from>
                  <to>
                    <xdr:col>22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0" name="Check Box 79">
              <controlPr defaultSize="0" autoFill="0" autoLine="0" autoPict="0">
                <anchor moveWithCells="1">
                  <from>
                    <xdr:col>23</xdr:col>
                    <xdr:colOff>47625</xdr:colOff>
                    <xdr:row>21</xdr:row>
                    <xdr:rowOff>38100</xdr:rowOff>
                  </from>
                  <to>
                    <xdr:col>23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1" name="Check Box 80">
              <controlPr defaultSize="0" autoFill="0" autoLine="0" autoPict="0">
                <anchor moveWithCells="1">
                  <from>
                    <xdr:col>24</xdr:col>
                    <xdr:colOff>47625</xdr:colOff>
                    <xdr:row>21</xdr:row>
                    <xdr:rowOff>38100</xdr:rowOff>
                  </from>
                  <to>
                    <xdr:col>24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2" name="Check Box 81">
              <controlPr defaultSize="0" autoFill="0" autoLine="0" autoPict="0">
                <anchor moveWithCells="1">
                  <from>
                    <xdr:col>25</xdr:col>
                    <xdr:colOff>47625</xdr:colOff>
                    <xdr:row>21</xdr:row>
                    <xdr:rowOff>38100</xdr:rowOff>
                  </from>
                  <to>
                    <xdr:col>25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3" name="Check Box 82">
              <controlPr defaultSize="0" autoFill="0" autoLine="0" autoPict="0">
                <anchor moveWithCells="1">
                  <from>
                    <xdr:col>26</xdr:col>
                    <xdr:colOff>47625</xdr:colOff>
                    <xdr:row>21</xdr:row>
                    <xdr:rowOff>38100</xdr:rowOff>
                  </from>
                  <to>
                    <xdr:col>26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4" name="Check Box 83">
              <controlPr defaultSize="0" autoFill="0" autoLine="0" autoPict="0">
                <anchor moveWithCells="1">
                  <from>
                    <xdr:col>27</xdr:col>
                    <xdr:colOff>47625</xdr:colOff>
                    <xdr:row>21</xdr:row>
                    <xdr:rowOff>38100</xdr:rowOff>
                  </from>
                  <to>
                    <xdr:col>27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5" name="Check Box 84">
              <controlPr defaultSize="0" autoFill="0" autoLine="0" autoPict="0">
                <anchor moveWithCells="1">
                  <from>
                    <xdr:col>28</xdr:col>
                    <xdr:colOff>47625</xdr:colOff>
                    <xdr:row>21</xdr:row>
                    <xdr:rowOff>38100</xdr:rowOff>
                  </from>
                  <to>
                    <xdr:col>28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6" name="Check Box 85">
              <controlPr defaultSize="0" autoFill="0" autoLine="0" autoPict="0">
                <anchor moveWithCells="1">
                  <from>
                    <xdr:col>29</xdr:col>
                    <xdr:colOff>47625</xdr:colOff>
                    <xdr:row>21</xdr:row>
                    <xdr:rowOff>38100</xdr:rowOff>
                  </from>
                  <to>
                    <xdr:col>29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7" name="Check Box 86">
              <controlPr defaultSize="0" autoFill="0" autoLine="0" autoPict="0">
                <anchor moveWithCells="1">
                  <from>
                    <xdr:col>30</xdr:col>
                    <xdr:colOff>47625</xdr:colOff>
                    <xdr:row>21</xdr:row>
                    <xdr:rowOff>38100</xdr:rowOff>
                  </from>
                  <to>
                    <xdr:col>30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8" name="Check Box 87">
              <controlPr defaultSize="0" autoFill="0" autoLine="0" autoPict="0">
                <anchor moveWithCells="1">
                  <from>
                    <xdr:col>31</xdr:col>
                    <xdr:colOff>47625</xdr:colOff>
                    <xdr:row>21</xdr:row>
                    <xdr:rowOff>38100</xdr:rowOff>
                  </from>
                  <to>
                    <xdr:col>31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9" name="Check Box 88">
              <controlPr defaultSize="0" autoFill="0" autoLine="0" autoPict="0">
                <anchor moveWithCells="1">
                  <from>
                    <xdr:col>32</xdr:col>
                    <xdr:colOff>47625</xdr:colOff>
                    <xdr:row>21</xdr:row>
                    <xdr:rowOff>38100</xdr:rowOff>
                  </from>
                  <to>
                    <xdr:col>32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0" name="Check Box 89">
              <controlPr defaultSize="0" autoFill="0" autoLine="0" autoPict="0">
                <anchor moveWithCells="1">
                  <from>
                    <xdr:col>33</xdr:col>
                    <xdr:colOff>47625</xdr:colOff>
                    <xdr:row>21</xdr:row>
                    <xdr:rowOff>38100</xdr:rowOff>
                  </from>
                  <to>
                    <xdr:col>33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1" name="Check Box 90">
              <controlPr defaultSize="0" autoFill="0" autoLine="0" autoPict="0">
                <anchor moveWithCells="1">
                  <from>
                    <xdr:col>34</xdr:col>
                    <xdr:colOff>47625</xdr:colOff>
                    <xdr:row>21</xdr:row>
                    <xdr:rowOff>38100</xdr:rowOff>
                  </from>
                  <to>
                    <xdr:col>34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2" name="Check Box 91">
              <controlPr defaultSize="0" autoFill="0" autoLine="0" autoPict="0">
                <anchor moveWithCells="1">
                  <from>
                    <xdr:col>35</xdr:col>
                    <xdr:colOff>47625</xdr:colOff>
                    <xdr:row>21</xdr:row>
                    <xdr:rowOff>38100</xdr:rowOff>
                  </from>
                  <to>
                    <xdr:col>35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3" name="Check Box 92">
              <controlPr defaultSize="0" autoFill="0" autoLine="0" autoPict="0">
                <anchor moveWithCells="1">
                  <from>
                    <xdr:col>36</xdr:col>
                    <xdr:colOff>47625</xdr:colOff>
                    <xdr:row>21</xdr:row>
                    <xdr:rowOff>38100</xdr:rowOff>
                  </from>
                  <to>
                    <xdr:col>36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4" name="Check Box 93">
              <controlPr defaultSize="0" autoFill="0" autoLine="0" autoPict="0">
                <anchor moveWithCells="1">
                  <from>
                    <xdr:col>37</xdr:col>
                    <xdr:colOff>47625</xdr:colOff>
                    <xdr:row>21</xdr:row>
                    <xdr:rowOff>38100</xdr:rowOff>
                  </from>
                  <to>
                    <xdr:col>37</xdr:col>
                    <xdr:colOff>342900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5" name="Check Box 94">
              <controlPr defaultSize="0" autoFill="0" autoLine="0" autoPict="0">
                <anchor moveWithCells="1">
                  <from>
                    <xdr:col>7</xdr:col>
                    <xdr:colOff>47625</xdr:colOff>
                    <xdr:row>22</xdr:row>
                    <xdr:rowOff>38100</xdr:rowOff>
                  </from>
                  <to>
                    <xdr:col>7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6" name="Check Box 95">
              <controlPr defaultSize="0" autoFill="0" autoLine="0" autoPict="0">
                <anchor moveWithCells="1">
                  <from>
                    <xdr:col>8</xdr:col>
                    <xdr:colOff>47625</xdr:colOff>
                    <xdr:row>22</xdr:row>
                    <xdr:rowOff>38100</xdr:rowOff>
                  </from>
                  <to>
                    <xdr:col>8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7" name="Check Box 96">
              <controlPr defaultSize="0" autoFill="0" autoLine="0" autoPict="0">
                <anchor moveWithCells="1">
                  <from>
                    <xdr:col>9</xdr:col>
                    <xdr:colOff>47625</xdr:colOff>
                    <xdr:row>22</xdr:row>
                    <xdr:rowOff>38100</xdr:rowOff>
                  </from>
                  <to>
                    <xdr:col>9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8" name="Check Box 97">
              <controlPr defaultSize="0" autoFill="0" autoLine="0" autoPict="0">
                <anchor moveWithCells="1">
                  <from>
                    <xdr:col>10</xdr:col>
                    <xdr:colOff>47625</xdr:colOff>
                    <xdr:row>22</xdr:row>
                    <xdr:rowOff>38100</xdr:rowOff>
                  </from>
                  <to>
                    <xdr:col>10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9" name="Check Box 98">
              <controlPr defaultSize="0" autoFill="0" autoLine="0" autoPict="0">
                <anchor moveWithCells="1">
                  <from>
                    <xdr:col>11</xdr:col>
                    <xdr:colOff>47625</xdr:colOff>
                    <xdr:row>22</xdr:row>
                    <xdr:rowOff>38100</xdr:rowOff>
                  </from>
                  <to>
                    <xdr:col>11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0" name="Check Box 99">
              <controlPr defaultSize="0" autoFill="0" autoLine="0" autoPict="0">
                <anchor moveWithCells="1">
                  <from>
                    <xdr:col>12</xdr:col>
                    <xdr:colOff>47625</xdr:colOff>
                    <xdr:row>22</xdr:row>
                    <xdr:rowOff>38100</xdr:rowOff>
                  </from>
                  <to>
                    <xdr:col>12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1" name="Check Box 100">
              <controlPr defaultSize="0" autoFill="0" autoLine="0" autoPict="0">
                <anchor moveWithCells="1">
                  <from>
                    <xdr:col>13</xdr:col>
                    <xdr:colOff>47625</xdr:colOff>
                    <xdr:row>22</xdr:row>
                    <xdr:rowOff>38100</xdr:rowOff>
                  </from>
                  <to>
                    <xdr:col>13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2" name="Check Box 101">
              <controlPr defaultSize="0" autoFill="0" autoLine="0" autoPict="0">
                <anchor moveWithCells="1">
                  <from>
                    <xdr:col>14</xdr:col>
                    <xdr:colOff>47625</xdr:colOff>
                    <xdr:row>22</xdr:row>
                    <xdr:rowOff>38100</xdr:rowOff>
                  </from>
                  <to>
                    <xdr:col>14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3" name="Check Box 102">
              <controlPr defaultSize="0" autoFill="0" autoLine="0" autoPict="0">
                <anchor moveWithCells="1">
                  <from>
                    <xdr:col>15</xdr:col>
                    <xdr:colOff>47625</xdr:colOff>
                    <xdr:row>22</xdr:row>
                    <xdr:rowOff>38100</xdr:rowOff>
                  </from>
                  <to>
                    <xdr:col>15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4" name="Check Box 103">
              <controlPr defaultSize="0" autoFill="0" autoLine="0" autoPict="0">
                <anchor moveWithCells="1">
                  <from>
                    <xdr:col>16</xdr:col>
                    <xdr:colOff>47625</xdr:colOff>
                    <xdr:row>22</xdr:row>
                    <xdr:rowOff>38100</xdr:rowOff>
                  </from>
                  <to>
                    <xdr:col>16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5" name="Check Box 104">
              <controlPr defaultSize="0" autoFill="0" autoLine="0" autoPict="0">
                <anchor moveWithCells="1">
                  <from>
                    <xdr:col>17</xdr:col>
                    <xdr:colOff>47625</xdr:colOff>
                    <xdr:row>22</xdr:row>
                    <xdr:rowOff>38100</xdr:rowOff>
                  </from>
                  <to>
                    <xdr:col>17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6" name="Check Box 105">
              <controlPr defaultSize="0" autoFill="0" autoLine="0" autoPict="0">
                <anchor moveWithCells="1">
                  <from>
                    <xdr:col>18</xdr:col>
                    <xdr:colOff>47625</xdr:colOff>
                    <xdr:row>22</xdr:row>
                    <xdr:rowOff>38100</xdr:rowOff>
                  </from>
                  <to>
                    <xdr:col>18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7" name="Check Box 106">
              <controlPr defaultSize="0" autoFill="0" autoLine="0" autoPict="0">
                <anchor moveWithCells="1">
                  <from>
                    <xdr:col>19</xdr:col>
                    <xdr:colOff>47625</xdr:colOff>
                    <xdr:row>22</xdr:row>
                    <xdr:rowOff>38100</xdr:rowOff>
                  </from>
                  <to>
                    <xdr:col>19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8" name="Check Box 107">
              <controlPr defaultSize="0" autoFill="0" autoLine="0" autoPict="0">
                <anchor moveWithCells="1">
                  <from>
                    <xdr:col>20</xdr:col>
                    <xdr:colOff>47625</xdr:colOff>
                    <xdr:row>22</xdr:row>
                    <xdr:rowOff>38100</xdr:rowOff>
                  </from>
                  <to>
                    <xdr:col>20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9" name="Check Box 108">
              <controlPr defaultSize="0" autoFill="0" autoLine="0" autoPict="0">
                <anchor moveWithCells="1">
                  <from>
                    <xdr:col>21</xdr:col>
                    <xdr:colOff>47625</xdr:colOff>
                    <xdr:row>22</xdr:row>
                    <xdr:rowOff>38100</xdr:rowOff>
                  </from>
                  <to>
                    <xdr:col>21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0" name="Check Box 109">
              <controlPr defaultSize="0" autoFill="0" autoLine="0" autoPict="0">
                <anchor moveWithCells="1">
                  <from>
                    <xdr:col>22</xdr:col>
                    <xdr:colOff>47625</xdr:colOff>
                    <xdr:row>22</xdr:row>
                    <xdr:rowOff>38100</xdr:rowOff>
                  </from>
                  <to>
                    <xdr:col>22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1" name="Check Box 110">
              <controlPr defaultSize="0" autoFill="0" autoLine="0" autoPict="0">
                <anchor moveWithCells="1">
                  <from>
                    <xdr:col>23</xdr:col>
                    <xdr:colOff>47625</xdr:colOff>
                    <xdr:row>22</xdr:row>
                    <xdr:rowOff>38100</xdr:rowOff>
                  </from>
                  <to>
                    <xdr:col>23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2" name="Check Box 111">
              <controlPr defaultSize="0" autoFill="0" autoLine="0" autoPict="0">
                <anchor moveWithCells="1">
                  <from>
                    <xdr:col>24</xdr:col>
                    <xdr:colOff>47625</xdr:colOff>
                    <xdr:row>22</xdr:row>
                    <xdr:rowOff>38100</xdr:rowOff>
                  </from>
                  <to>
                    <xdr:col>24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3" name="Check Box 112">
              <controlPr defaultSize="0" autoFill="0" autoLine="0" autoPict="0">
                <anchor moveWithCells="1">
                  <from>
                    <xdr:col>25</xdr:col>
                    <xdr:colOff>47625</xdr:colOff>
                    <xdr:row>22</xdr:row>
                    <xdr:rowOff>38100</xdr:rowOff>
                  </from>
                  <to>
                    <xdr:col>25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4" name="Check Box 113">
              <controlPr defaultSize="0" autoFill="0" autoLine="0" autoPict="0">
                <anchor moveWithCells="1">
                  <from>
                    <xdr:col>26</xdr:col>
                    <xdr:colOff>47625</xdr:colOff>
                    <xdr:row>22</xdr:row>
                    <xdr:rowOff>38100</xdr:rowOff>
                  </from>
                  <to>
                    <xdr:col>26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5" name="Check Box 114">
              <controlPr defaultSize="0" autoFill="0" autoLine="0" autoPict="0">
                <anchor moveWithCells="1">
                  <from>
                    <xdr:col>27</xdr:col>
                    <xdr:colOff>47625</xdr:colOff>
                    <xdr:row>22</xdr:row>
                    <xdr:rowOff>38100</xdr:rowOff>
                  </from>
                  <to>
                    <xdr:col>27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6" name="Check Box 115">
              <controlPr defaultSize="0" autoFill="0" autoLine="0" autoPict="0">
                <anchor moveWithCells="1">
                  <from>
                    <xdr:col>28</xdr:col>
                    <xdr:colOff>47625</xdr:colOff>
                    <xdr:row>22</xdr:row>
                    <xdr:rowOff>38100</xdr:rowOff>
                  </from>
                  <to>
                    <xdr:col>28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7" name="Check Box 116">
              <controlPr defaultSize="0" autoFill="0" autoLine="0" autoPict="0">
                <anchor moveWithCells="1">
                  <from>
                    <xdr:col>29</xdr:col>
                    <xdr:colOff>47625</xdr:colOff>
                    <xdr:row>22</xdr:row>
                    <xdr:rowOff>38100</xdr:rowOff>
                  </from>
                  <to>
                    <xdr:col>29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8" name="Check Box 117">
              <controlPr defaultSize="0" autoFill="0" autoLine="0" autoPict="0">
                <anchor moveWithCells="1">
                  <from>
                    <xdr:col>30</xdr:col>
                    <xdr:colOff>47625</xdr:colOff>
                    <xdr:row>22</xdr:row>
                    <xdr:rowOff>38100</xdr:rowOff>
                  </from>
                  <to>
                    <xdr:col>30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9" name="Check Box 118">
              <controlPr defaultSize="0" autoFill="0" autoLine="0" autoPict="0">
                <anchor moveWithCells="1">
                  <from>
                    <xdr:col>31</xdr:col>
                    <xdr:colOff>47625</xdr:colOff>
                    <xdr:row>22</xdr:row>
                    <xdr:rowOff>38100</xdr:rowOff>
                  </from>
                  <to>
                    <xdr:col>31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0" name="Check Box 119">
              <controlPr defaultSize="0" autoFill="0" autoLine="0" autoPict="0">
                <anchor moveWithCells="1">
                  <from>
                    <xdr:col>32</xdr:col>
                    <xdr:colOff>47625</xdr:colOff>
                    <xdr:row>22</xdr:row>
                    <xdr:rowOff>38100</xdr:rowOff>
                  </from>
                  <to>
                    <xdr:col>32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1" name="Check Box 120">
              <controlPr defaultSize="0" autoFill="0" autoLine="0" autoPict="0">
                <anchor moveWithCells="1">
                  <from>
                    <xdr:col>33</xdr:col>
                    <xdr:colOff>47625</xdr:colOff>
                    <xdr:row>22</xdr:row>
                    <xdr:rowOff>38100</xdr:rowOff>
                  </from>
                  <to>
                    <xdr:col>33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2" name="Check Box 121">
              <controlPr defaultSize="0" autoFill="0" autoLine="0" autoPict="0">
                <anchor moveWithCells="1">
                  <from>
                    <xdr:col>34</xdr:col>
                    <xdr:colOff>47625</xdr:colOff>
                    <xdr:row>22</xdr:row>
                    <xdr:rowOff>38100</xdr:rowOff>
                  </from>
                  <to>
                    <xdr:col>34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3" name="Check Box 122">
              <controlPr defaultSize="0" autoFill="0" autoLine="0" autoPict="0">
                <anchor moveWithCells="1">
                  <from>
                    <xdr:col>35</xdr:col>
                    <xdr:colOff>47625</xdr:colOff>
                    <xdr:row>22</xdr:row>
                    <xdr:rowOff>38100</xdr:rowOff>
                  </from>
                  <to>
                    <xdr:col>35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4" name="Check Box 123">
              <controlPr defaultSize="0" autoFill="0" autoLine="0" autoPict="0">
                <anchor moveWithCells="1">
                  <from>
                    <xdr:col>36</xdr:col>
                    <xdr:colOff>47625</xdr:colOff>
                    <xdr:row>22</xdr:row>
                    <xdr:rowOff>38100</xdr:rowOff>
                  </from>
                  <to>
                    <xdr:col>36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5" name="Check Box 124">
              <controlPr defaultSize="0" autoFill="0" autoLine="0" autoPict="0">
                <anchor moveWithCells="1">
                  <from>
                    <xdr:col>37</xdr:col>
                    <xdr:colOff>47625</xdr:colOff>
                    <xdr:row>22</xdr:row>
                    <xdr:rowOff>38100</xdr:rowOff>
                  </from>
                  <to>
                    <xdr:col>37</xdr:col>
                    <xdr:colOff>342900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6" name="Check Box 125">
              <controlPr defaultSize="0" autoFill="0" autoLine="0" autoPict="0">
                <anchor moveWithCells="1">
                  <from>
                    <xdr:col>7</xdr:col>
                    <xdr:colOff>47625</xdr:colOff>
                    <xdr:row>23</xdr:row>
                    <xdr:rowOff>38100</xdr:rowOff>
                  </from>
                  <to>
                    <xdr:col>7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7" name="Check Box 126">
              <controlPr defaultSize="0" autoFill="0" autoLine="0" autoPict="0">
                <anchor moveWithCells="1">
                  <from>
                    <xdr:col>8</xdr:col>
                    <xdr:colOff>47625</xdr:colOff>
                    <xdr:row>23</xdr:row>
                    <xdr:rowOff>38100</xdr:rowOff>
                  </from>
                  <to>
                    <xdr:col>8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8" name="Check Box 127">
              <controlPr defaultSize="0" autoFill="0" autoLine="0" autoPict="0">
                <anchor moveWithCells="1">
                  <from>
                    <xdr:col>9</xdr:col>
                    <xdr:colOff>47625</xdr:colOff>
                    <xdr:row>23</xdr:row>
                    <xdr:rowOff>38100</xdr:rowOff>
                  </from>
                  <to>
                    <xdr:col>9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9" name="Check Box 128">
              <controlPr defaultSize="0" autoFill="0" autoLine="0" autoPict="0">
                <anchor moveWithCells="1">
                  <from>
                    <xdr:col>10</xdr:col>
                    <xdr:colOff>47625</xdr:colOff>
                    <xdr:row>23</xdr:row>
                    <xdr:rowOff>38100</xdr:rowOff>
                  </from>
                  <to>
                    <xdr:col>10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0" name="Check Box 129">
              <controlPr defaultSize="0" autoFill="0" autoLine="0" autoPict="0">
                <anchor moveWithCells="1">
                  <from>
                    <xdr:col>11</xdr:col>
                    <xdr:colOff>47625</xdr:colOff>
                    <xdr:row>23</xdr:row>
                    <xdr:rowOff>38100</xdr:rowOff>
                  </from>
                  <to>
                    <xdr:col>11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1" name="Check Box 130">
              <controlPr defaultSize="0" autoFill="0" autoLine="0" autoPict="0">
                <anchor moveWithCells="1">
                  <from>
                    <xdr:col>12</xdr:col>
                    <xdr:colOff>47625</xdr:colOff>
                    <xdr:row>23</xdr:row>
                    <xdr:rowOff>38100</xdr:rowOff>
                  </from>
                  <to>
                    <xdr:col>12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2" name="Check Box 131">
              <controlPr defaultSize="0" autoFill="0" autoLine="0" autoPict="0">
                <anchor moveWithCells="1">
                  <from>
                    <xdr:col>13</xdr:col>
                    <xdr:colOff>47625</xdr:colOff>
                    <xdr:row>23</xdr:row>
                    <xdr:rowOff>38100</xdr:rowOff>
                  </from>
                  <to>
                    <xdr:col>13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3" name="Check Box 132">
              <controlPr defaultSize="0" autoFill="0" autoLine="0" autoPict="0">
                <anchor moveWithCells="1">
                  <from>
                    <xdr:col>14</xdr:col>
                    <xdr:colOff>47625</xdr:colOff>
                    <xdr:row>23</xdr:row>
                    <xdr:rowOff>38100</xdr:rowOff>
                  </from>
                  <to>
                    <xdr:col>14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4" name="Check Box 133">
              <controlPr defaultSize="0" autoFill="0" autoLine="0" autoPict="0">
                <anchor moveWithCells="1">
                  <from>
                    <xdr:col>15</xdr:col>
                    <xdr:colOff>47625</xdr:colOff>
                    <xdr:row>23</xdr:row>
                    <xdr:rowOff>38100</xdr:rowOff>
                  </from>
                  <to>
                    <xdr:col>15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5" name="Check Box 134">
              <controlPr defaultSize="0" autoFill="0" autoLine="0" autoPict="0">
                <anchor moveWithCells="1">
                  <from>
                    <xdr:col>16</xdr:col>
                    <xdr:colOff>47625</xdr:colOff>
                    <xdr:row>23</xdr:row>
                    <xdr:rowOff>38100</xdr:rowOff>
                  </from>
                  <to>
                    <xdr:col>16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6" name="Check Box 135">
              <controlPr defaultSize="0" autoFill="0" autoLine="0" autoPict="0">
                <anchor moveWithCells="1">
                  <from>
                    <xdr:col>17</xdr:col>
                    <xdr:colOff>47625</xdr:colOff>
                    <xdr:row>23</xdr:row>
                    <xdr:rowOff>38100</xdr:rowOff>
                  </from>
                  <to>
                    <xdr:col>17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7" name="Check Box 136">
              <controlPr defaultSize="0" autoFill="0" autoLine="0" autoPict="0">
                <anchor moveWithCells="1">
                  <from>
                    <xdr:col>18</xdr:col>
                    <xdr:colOff>47625</xdr:colOff>
                    <xdr:row>23</xdr:row>
                    <xdr:rowOff>38100</xdr:rowOff>
                  </from>
                  <to>
                    <xdr:col>18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8" name="Check Box 137">
              <controlPr defaultSize="0" autoFill="0" autoLine="0" autoPict="0">
                <anchor moveWithCells="1">
                  <from>
                    <xdr:col>19</xdr:col>
                    <xdr:colOff>47625</xdr:colOff>
                    <xdr:row>23</xdr:row>
                    <xdr:rowOff>38100</xdr:rowOff>
                  </from>
                  <to>
                    <xdr:col>19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9" name="Check Box 138">
              <controlPr defaultSize="0" autoFill="0" autoLine="0" autoPict="0">
                <anchor moveWithCells="1">
                  <from>
                    <xdr:col>20</xdr:col>
                    <xdr:colOff>47625</xdr:colOff>
                    <xdr:row>23</xdr:row>
                    <xdr:rowOff>38100</xdr:rowOff>
                  </from>
                  <to>
                    <xdr:col>20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0" name="Check Box 139">
              <controlPr defaultSize="0" autoFill="0" autoLine="0" autoPict="0">
                <anchor moveWithCells="1">
                  <from>
                    <xdr:col>21</xdr:col>
                    <xdr:colOff>47625</xdr:colOff>
                    <xdr:row>23</xdr:row>
                    <xdr:rowOff>38100</xdr:rowOff>
                  </from>
                  <to>
                    <xdr:col>21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1" name="Check Box 140">
              <controlPr defaultSize="0" autoFill="0" autoLine="0" autoPict="0">
                <anchor moveWithCells="1">
                  <from>
                    <xdr:col>22</xdr:col>
                    <xdr:colOff>47625</xdr:colOff>
                    <xdr:row>23</xdr:row>
                    <xdr:rowOff>38100</xdr:rowOff>
                  </from>
                  <to>
                    <xdr:col>22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2" name="Check Box 141">
              <controlPr defaultSize="0" autoFill="0" autoLine="0" autoPict="0">
                <anchor moveWithCells="1">
                  <from>
                    <xdr:col>23</xdr:col>
                    <xdr:colOff>47625</xdr:colOff>
                    <xdr:row>23</xdr:row>
                    <xdr:rowOff>38100</xdr:rowOff>
                  </from>
                  <to>
                    <xdr:col>23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3" name="Check Box 142">
              <controlPr defaultSize="0" autoFill="0" autoLine="0" autoPict="0">
                <anchor moveWithCells="1">
                  <from>
                    <xdr:col>24</xdr:col>
                    <xdr:colOff>47625</xdr:colOff>
                    <xdr:row>23</xdr:row>
                    <xdr:rowOff>38100</xdr:rowOff>
                  </from>
                  <to>
                    <xdr:col>24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4" name="Check Box 143">
              <controlPr defaultSize="0" autoFill="0" autoLine="0" autoPict="0">
                <anchor moveWithCells="1">
                  <from>
                    <xdr:col>25</xdr:col>
                    <xdr:colOff>47625</xdr:colOff>
                    <xdr:row>23</xdr:row>
                    <xdr:rowOff>38100</xdr:rowOff>
                  </from>
                  <to>
                    <xdr:col>25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5" name="Check Box 144">
              <controlPr defaultSize="0" autoFill="0" autoLine="0" autoPict="0">
                <anchor moveWithCells="1">
                  <from>
                    <xdr:col>26</xdr:col>
                    <xdr:colOff>47625</xdr:colOff>
                    <xdr:row>23</xdr:row>
                    <xdr:rowOff>38100</xdr:rowOff>
                  </from>
                  <to>
                    <xdr:col>26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6" name="Check Box 145">
              <controlPr defaultSize="0" autoFill="0" autoLine="0" autoPict="0">
                <anchor moveWithCells="1">
                  <from>
                    <xdr:col>27</xdr:col>
                    <xdr:colOff>47625</xdr:colOff>
                    <xdr:row>23</xdr:row>
                    <xdr:rowOff>38100</xdr:rowOff>
                  </from>
                  <to>
                    <xdr:col>27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7" name="Check Box 146">
              <controlPr defaultSize="0" autoFill="0" autoLine="0" autoPict="0">
                <anchor moveWithCells="1">
                  <from>
                    <xdr:col>28</xdr:col>
                    <xdr:colOff>47625</xdr:colOff>
                    <xdr:row>23</xdr:row>
                    <xdr:rowOff>38100</xdr:rowOff>
                  </from>
                  <to>
                    <xdr:col>28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8" name="Check Box 147">
              <controlPr defaultSize="0" autoFill="0" autoLine="0" autoPict="0">
                <anchor moveWithCells="1">
                  <from>
                    <xdr:col>29</xdr:col>
                    <xdr:colOff>47625</xdr:colOff>
                    <xdr:row>23</xdr:row>
                    <xdr:rowOff>38100</xdr:rowOff>
                  </from>
                  <to>
                    <xdr:col>29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9" name="Check Box 148">
              <controlPr defaultSize="0" autoFill="0" autoLine="0" autoPict="0">
                <anchor moveWithCells="1">
                  <from>
                    <xdr:col>30</xdr:col>
                    <xdr:colOff>47625</xdr:colOff>
                    <xdr:row>23</xdr:row>
                    <xdr:rowOff>38100</xdr:rowOff>
                  </from>
                  <to>
                    <xdr:col>30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0" name="Check Box 149">
              <controlPr defaultSize="0" autoFill="0" autoLine="0" autoPict="0">
                <anchor moveWithCells="1">
                  <from>
                    <xdr:col>31</xdr:col>
                    <xdr:colOff>47625</xdr:colOff>
                    <xdr:row>23</xdr:row>
                    <xdr:rowOff>38100</xdr:rowOff>
                  </from>
                  <to>
                    <xdr:col>31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1" name="Check Box 150">
              <controlPr defaultSize="0" autoFill="0" autoLine="0" autoPict="0">
                <anchor moveWithCells="1">
                  <from>
                    <xdr:col>32</xdr:col>
                    <xdr:colOff>47625</xdr:colOff>
                    <xdr:row>23</xdr:row>
                    <xdr:rowOff>38100</xdr:rowOff>
                  </from>
                  <to>
                    <xdr:col>32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2" name="Check Box 151">
              <controlPr defaultSize="0" autoFill="0" autoLine="0" autoPict="0">
                <anchor moveWithCells="1">
                  <from>
                    <xdr:col>33</xdr:col>
                    <xdr:colOff>47625</xdr:colOff>
                    <xdr:row>23</xdr:row>
                    <xdr:rowOff>38100</xdr:rowOff>
                  </from>
                  <to>
                    <xdr:col>33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3" name="Check Box 152">
              <controlPr defaultSize="0" autoFill="0" autoLine="0" autoPict="0">
                <anchor moveWithCells="1">
                  <from>
                    <xdr:col>34</xdr:col>
                    <xdr:colOff>47625</xdr:colOff>
                    <xdr:row>23</xdr:row>
                    <xdr:rowOff>38100</xdr:rowOff>
                  </from>
                  <to>
                    <xdr:col>34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4" name="Check Box 153">
              <controlPr defaultSize="0" autoFill="0" autoLine="0" autoPict="0">
                <anchor moveWithCells="1">
                  <from>
                    <xdr:col>35</xdr:col>
                    <xdr:colOff>47625</xdr:colOff>
                    <xdr:row>23</xdr:row>
                    <xdr:rowOff>38100</xdr:rowOff>
                  </from>
                  <to>
                    <xdr:col>35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5" name="Check Box 154">
              <controlPr defaultSize="0" autoFill="0" autoLine="0" autoPict="0">
                <anchor moveWithCells="1">
                  <from>
                    <xdr:col>36</xdr:col>
                    <xdr:colOff>47625</xdr:colOff>
                    <xdr:row>23</xdr:row>
                    <xdr:rowOff>38100</xdr:rowOff>
                  </from>
                  <to>
                    <xdr:col>36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6" name="Check Box 155">
              <controlPr defaultSize="0" autoFill="0" autoLine="0" autoPict="0">
                <anchor moveWithCells="1">
                  <from>
                    <xdr:col>37</xdr:col>
                    <xdr:colOff>47625</xdr:colOff>
                    <xdr:row>23</xdr:row>
                    <xdr:rowOff>38100</xdr:rowOff>
                  </from>
                  <to>
                    <xdr:col>37</xdr:col>
                    <xdr:colOff>342900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7" name="Check Box 156">
              <controlPr defaultSize="0" autoFill="0" autoLine="0" autoPict="0">
                <anchor moveWithCells="1">
                  <from>
                    <xdr:col>7</xdr:col>
                    <xdr:colOff>47625</xdr:colOff>
                    <xdr:row>24</xdr:row>
                    <xdr:rowOff>38100</xdr:rowOff>
                  </from>
                  <to>
                    <xdr:col>7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8" name="Check Box 157">
              <controlPr defaultSize="0" autoFill="0" autoLine="0" autoPict="0">
                <anchor moveWithCells="1">
                  <from>
                    <xdr:col>8</xdr:col>
                    <xdr:colOff>47625</xdr:colOff>
                    <xdr:row>24</xdr:row>
                    <xdr:rowOff>38100</xdr:rowOff>
                  </from>
                  <to>
                    <xdr:col>8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9" name="Check Box 158">
              <controlPr defaultSize="0" autoFill="0" autoLine="0" autoPict="0">
                <anchor moveWithCells="1">
                  <from>
                    <xdr:col>9</xdr:col>
                    <xdr:colOff>47625</xdr:colOff>
                    <xdr:row>24</xdr:row>
                    <xdr:rowOff>38100</xdr:rowOff>
                  </from>
                  <to>
                    <xdr:col>9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0" name="Check Box 159">
              <controlPr defaultSize="0" autoFill="0" autoLine="0" autoPict="0">
                <anchor moveWithCells="1">
                  <from>
                    <xdr:col>10</xdr:col>
                    <xdr:colOff>47625</xdr:colOff>
                    <xdr:row>24</xdr:row>
                    <xdr:rowOff>38100</xdr:rowOff>
                  </from>
                  <to>
                    <xdr:col>10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1" name="Check Box 160">
              <controlPr defaultSize="0" autoFill="0" autoLine="0" autoPict="0">
                <anchor moveWithCells="1">
                  <from>
                    <xdr:col>11</xdr:col>
                    <xdr:colOff>47625</xdr:colOff>
                    <xdr:row>24</xdr:row>
                    <xdr:rowOff>38100</xdr:rowOff>
                  </from>
                  <to>
                    <xdr:col>11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2" name="Check Box 161">
              <controlPr defaultSize="0" autoFill="0" autoLine="0" autoPict="0">
                <anchor moveWithCells="1">
                  <from>
                    <xdr:col>12</xdr:col>
                    <xdr:colOff>47625</xdr:colOff>
                    <xdr:row>24</xdr:row>
                    <xdr:rowOff>38100</xdr:rowOff>
                  </from>
                  <to>
                    <xdr:col>12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3" name="Check Box 162">
              <controlPr defaultSize="0" autoFill="0" autoLine="0" autoPict="0">
                <anchor moveWithCells="1">
                  <from>
                    <xdr:col>13</xdr:col>
                    <xdr:colOff>47625</xdr:colOff>
                    <xdr:row>24</xdr:row>
                    <xdr:rowOff>38100</xdr:rowOff>
                  </from>
                  <to>
                    <xdr:col>13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4" name="Check Box 163">
              <controlPr defaultSize="0" autoFill="0" autoLine="0" autoPict="0">
                <anchor moveWithCells="1">
                  <from>
                    <xdr:col>14</xdr:col>
                    <xdr:colOff>47625</xdr:colOff>
                    <xdr:row>24</xdr:row>
                    <xdr:rowOff>38100</xdr:rowOff>
                  </from>
                  <to>
                    <xdr:col>14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5" name="Check Box 164">
              <controlPr defaultSize="0" autoFill="0" autoLine="0" autoPict="0">
                <anchor moveWithCells="1">
                  <from>
                    <xdr:col>15</xdr:col>
                    <xdr:colOff>47625</xdr:colOff>
                    <xdr:row>24</xdr:row>
                    <xdr:rowOff>38100</xdr:rowOff>
                  </from>
                  <to>
                    <xdr:col>15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6" name="Check Box 165">
              <controlPr defaultSize="0" autoFill="0" autoLine="0" autoPict="0">
                <anchor moveWithCells="1">
                  <from>
                    <xdr:col>16</xdr:col>
                    <xdr:colOff>47625</xdr:colOff>
                    <xdr:row>24</xdr:row>
                    <xdr:rowOff>38100</xdr:rowOff>
                  </from>
                  <to>
                    <xdr:col>16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7" name="Check Box 166">
              <controlPr defaultSize="0" autoFill="0" autoLine="0" autoPict="0">
                <anchor moveWithCells="1">
                  <from>
                    <xdr:col>17</xdr:col>
                    <xdr:colOff>47625</xdr:colOff>
                    <xdr:row>24</xdr:row>
                    <xdr:rowOff>38100</xdr:rowOff>
                  </from>
                  <to>
                    <xdr:col>17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8" name="Check Box 167">
              <controlPr defaultSize="0" autoFill="0" autoLine="0" autoPict="0">
                <anchor moveWithCells="1">
                  <from>
                    <xdr:col>18</xdr:col>
                    <xdr:colOff>47625</xdr:colOff>
                    <xdr:row>24</xdr:row>
                    <xdr:rowOff>38100</xdr:rowOff>
                  </from>
                  <to>
                    <xdr:col>18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9" name="Check Box 168">
              <controlPr defaultSize="0" autoFill="0" autoLine="0" autoPict="0">
                <anchor moveWithCells="1">
                  <from>
                    <xdr:col>19</xdr:col>
                    <xdr:colOff>47625</xdr:colOff>
                    <xdr:row>24</xdr:row>
                    <xdr:rowOff>38100</xdr:rowOff>
                  </from>
                  <to>
                    <xdr:col>19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0" name="Check Box 169">
              <controlPr defaultSize="0" autoFill="0" autoLine="0" autoPict="0">
                <anchor moveWithCells="1">
                  <from>
                    <xdr:col>20</xdr:col>
                    <xdr:colOff>47625</xdr:colOff>
                    <xdr:row>24</xdr:row>
                    <xdr:rowOff>38100</xdr:rowOff>
                  </from>
                  <to>
                    <xdr:col>20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1" name="Check Box 170">
              <controlPr defaultSize="0" autoFill="0" autoLine="0" autoPict="0">
                <anchor moveWithCells="1">
                  <from>
                    <xdr:col>21</xdr:col>
                    <xdr:colOff>47625</xdr:colOff>
                    <xdr:row>24</xdr:row>
                    <xdr:rowOff>38100</xdr:rowOff>
                  </from>
                  <to>
                    <xdr:col>21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2" name="Check Box 171">
              <controlPr defaultSize="0" autoFill="0" autoLine="0" autoPict="0">
                <anchor moveWithCells="1">
                  <from>
                    <xdr:col>22</xdr:col>
                    <xdr:colOff>47625</xdr:colOff>
                    <xdr:row>24</xdr:row>
                    <xdr:rowOff>38100</xdr:rowOff>
                  </from>
                  <to>
                    <xdr:col>22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3" name="Check Box 172">
              <controlPr defaultSize="0" autoFill="0" autoLine="0" autoPict="0">
                <anchor moveWithCells="1">
                  <from>
                    <xdr:col>23</xdr:col>
                    <xdr:colOff>47625</xdr:colOff>
                    <xdr:row>24</xdr:row>
                    <xdr:rowOff>38100</xdr:rowOff>
                  </from>
                  <to>
                    <xdr:col>23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4" name="Check Box 173">
              <controlPr defaultSize="0" autoFill="0" autoLine="0" autoPict="0">
                <anchor moveWithCells="1">
                  <from>
                    <xdr:col>24</xdr:col>
                    <xdr:colOff>47625</xdr:colOff>
                    <xdr:row>24</xdr:row>
                    <xdr:rowOff>38100</xdr:rowOff>
                  </from>
                  <to>
                    <xdr:col>24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5" name="Check Box 174">
              <controlPr defaultSize="0" autoFill="0" autoLine="0" autoPict="0">
                <anchor moveWithCells="1">
                  <from>
                    <xdr:col>25</xdr:col>
                    <xdr:colOff>47625</xdr:colOff>
                    <xdr:row>24</xdr:row>
                    <xdr:rowOff>38100</xdr:rowOff>
                  </from>
                  <to>
                    <xdr:col>25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6" name="Check Box 175">
              <controlPr defaultSize="0" autoFill="0" autoLine="0" autoPict="0">
                <anchor moveWithCells="1">
                  <from>
                    <xdr:col>26</xdr:col>
                    <xdr:colOff>47625</xdr:colOff>
                    <xdr:row>24</xdr:row>
                    <xdr:rowOff>38100</xdr:rowOff>
                  </from>
                  <to>
                    <xdr:col>26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7" name="Check Box 176">
              <controlPr defaultSize="0" autoFill="0" autoLine="0" autoPict="0">
                <anchor moveWithCells="1">
                  <from>
                    <xdr:col>27</xdr:col>
                    <xdr:colOff>47625</xdr:colOff>
                    <xdr:row>24</xdr:row>
                    <xdr:rowOff>38100</xdr:rowOff>
                  </from>
                  <to>
                    <xdr:col>27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8" name="Check Box 177">
              <controlPr defaultSize="0" autoFill="0" autoLine="0" autoPict="0">
                <anchor moveWithCells="1">
                  <from>
                    <xdr:col>28</xdr:col>
                    <xdr:colOff>47625</xdr:colOff>
                    <xdr:row>24</xdr:row>
                    <xdr:rowOff>38100</xdr:rowOff>
                  </from>
                  <to>
                    <xdr:col>28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9" name="Check Box 178">
              <controlPr defaultSize="0" autoFill="0" autoLine="0" autoPict="0">
                <anchor moveWithCells="1">
                  <from>
                    <xdr:col>29</xdr:col>
                    <xdr:colOff>47625</xdr:colOff>
                    <xdr:row>24</xdr:row>
                    <xdr:rowOff>38100</xdr:rowOff>
                  </from>
                  <to>
                    <xdr:col>29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0" name="Check Box 179">
              <controlPr defaultSize="0" autoFill="0" autoLine="0" autoPict="0">
                <anchor moveWithCells="1">
                  <from>
                    <xdr:col>30</xdr:col>
                    <xdr:colOff>47625</xdr:colOff>
                    <xdr:row>24</xdr:row>
                    <xdr:rowOff>38100</xdr:rowOff>
                  </from>
                  <to>
                    <xdr:col>30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1" name="Check Box 180">
              <controlPr defaultSize="0" autoFill="0" autoLine="0" autoPict="0">
                <anchor moveWithCells="1">
                  <from>
                    <xdr:col>31</xdr:col>
                    <xdr:colOff>47625</xdr:colOff>
                    <xdr:row>24</xdr:row>
                    <xdr:rowOff>38100</xdr:rowOff>
                  </from>
                  <to>
                    <xdr:col>31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2" name="Check Box 181">
              <controlPr defaultSize="0" autoFill="0" autoLine="0" autoPict="0">
                <anchor moveWithCells="1">
                  <from>
                    <xdr:col>32</xdr:col>
                    <xdr:colOff>47625</xdr:colOff>
                    <xdr:row>24</xdr:row>
                    <xdr:rowOff>38100</xdr:rowOff>
                  </from>
                  <to>
                    <xdr:col>32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3" name="Check Box 182">
              <controlPr defaultSize="0" autoFill="0" autoLine="0" autoPict="0">
                <anchor moveWithCells="1">
                  <from>
                    <xdr:col>33</xdr:col>
                    <xdr:colOff>47625</xdr:colOff>
                    <xdr:row>24</xdr:row>
                    <xdr:rowOff>38100</xdr:rowOff>
                  </from>
                  <to>
                    <xdr:col>33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4" name="Check Box 183">
              <controlPr defaultSize="0" autoFill="0" autoLine="0" autoPict="0">
                <anchor moveWithCells="1">
                  <from>
                    <xdr:col>34</xdr:col>
                    <xdr:colOff>47625</xdr:colOff>
                    <xdr:row>24</xdr:row>
                    <xdr:rowOff>38100</xdr:rowOff>
                  </from>
                  <to>
                    <xdr:col>34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5" name="Check Box 184">
              <controlPr defaultSize="0" autoFill="0" autoLine="0" autoPict="0">
                <anchor moveWithCells="1">
                  <from>
                    <xdr:col>35</xdr:col>
                    <xdr:colOff>47625</xdr:colOff>
                    <xdr:row>24</xdr:row>
                    <xdr:rowOff>38100</xdr:rowOff>
                  </from>
                  <to>
                    <xdr:col>35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6" name="Check Box 185">
              <controlPr defaultSize="0" autoFill="0" autoLine="0" autoPict="0">
                <anchor moveWithCells="1">
                  <from>
                    <xdr:col>36</xdr:col>
                    <xdr:colOff>47625</xdr:colOff>
                    <xdr:row>24</xdr:row>
                    <xdr:rowOff>38100</xdr:rowOff>
                  </from>
                  <to>
                    <xdr:col>36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7" name="Check Box 186">
              <controlPr defaultSize="0" autoFill="0" autoLine="0" autoPict="0">
                <anchor moveWithCells="1">
                  <from>
                    <xdr:col>37</xdr:col>
                    <xdr:colOff>47625</xdr:colOff>
                    <xdr:row>24</xdr:row>
                    <xdr:rowOff>38100</xdr:rowOff>
                  </from>
                  <to>
                    <xdr:col>37</xdr:col>
                    <xdr:colOff>342900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8" name="Check Box 187">
              <controlPr defaultSize="0" autoFill="0" autoLine="0" autoPict="0">
                <anchor moveWithCells="1">
                  <from>
                    <xdr:col>7</xdr:col>
                    <xdr:colOff>47625</xdr:colOff>
                    <xdr:row>25</xdr:row>
                    <xdr:rowOff>38100</xdr:rowOff>
                  </from>
                  <to>
                    <xdr:col>7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89" name="Check Box 188">
              <controlPr defaultSize="0" autoFill="0" autoLine="0" autoPict="0">
                <anchor moveWithCells="1">
                  <from>
                    <xdr:col>8</xdr:col>
                    <xdr:colOff>47625</xdr:colOff>
                    <xdr:row>25</xdr:row>
                    <xdr:rowOff>38100</xdr:rowOff>
                  </from>
                  <to>
                    <xdr:col>8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0" name="Check Box 189">
              <controlPr defaultSize="0" autoFill="0" autoLine="0" autoPict="0">
                <anchor moveWithCells="1">
                  <from>
                    <xdr:col>9</xdr:col>
                    <xdr:colOff>47625</xdr:colOff>
                    <xdr:row>25</xdr:row>
                    <xdr:rowOff>38100</xdr:rowOff>
                  </from>
                  <to>
                    <xdr:col>9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1" name="Check Box 190">
              <controlPr defaultSize="0" autoFill="0" autoLine="0" autoPict="0">
                <anchor moveWithCells="1">
                  <from>
                    <xdr:col>10</xdr:col>
                    <xdr:colOff>47625</xdr:colOff>
                    <xdr:row>25</xdr:row>
                    <xdr:rowOff>38100</xdr:rowOff>
                  </from>
                  <to>
                    <xdr:col>10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2" name="Check Box 191">
              <controlPr defaultSize="0" autoFill="0" autoLine="0" autoPict="0">
                <anchor moveWithCells="1">
                  <from>
                    <xdr:col>11</xdr:col>
                    <xdr:colOff>47625</xdr:colOff>
                    <xdr:row>25</xdr:row>
                    <xdr:rowOff>38100</xdr:rowOff>
                  </from>
                  <to>
                    <xdr:col>11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3" name="Check Box 192">
              <controlPr defaultSize="0" autoFill="0" autoLine="0" autoPict="0">
                <anchor moveWithCells="1">
                  <from>
                    <xdr:col>12</xdr:col>
                    <xdr:colOff>47625</xdr:colOff>
                    <xdr:row>25</xdr:row>
                    <xdr:rowOff>38100</xdr:rowOff>
                  </from>
                  <to>
                    <xdr:col>12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4" name="Check Box 193">
              <controlPr defaultSize="0" autoFill="0" autoLine="0" autoPict="0">
                <anchor moveWithCells="1">
                  <from>
                    <xdr:col>13</xdr:col>
                    <xdr:colOff>47625</xdr:colOff>
                    <xdr:row>25</xdr:row>
                    <xdr:rowOff>38100</xdr:rowOff>
                  </from>
                  <to>
                    <xdr:col>13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5" name="Check Box 194">
              <controlPr defaultSize="0" autoFill="0" autoLine="0" autoPict="0">
                <anchor moveWithCells="1">
                  <from>
                    <xdr:col>14</xdr:col>
                    <xdr:colOff>47625</xdr:colOff>
                    <xdr:row>25</xdr:row>
                    <xdr:rowOff>38100</xdr:rowOff>
                  </from>
                  <to>
                    <xdr:col>14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6" name="Check Box 195">
              <controlPr defaultSize="0" autoFill="0" autoLine="0" autoPict="0">
                <anchor moveWithCells="1">
                  <from>
                    <xdr:col>15</xdr:col>
                    <xdr:colOff>47625</xdr:colOff>
                    <xdr:row>25</xdr:row>
                    <xdr:rowOff>38100</xdr:rowOff>
                  </from>
                  <to>
                    <xdr:col>15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7" name="Check Box 196">
              <controlPr defaultSize="0" autoFill="0" autoLine="0" autoPict="0">
                <anchor moveWithCells="1">
                  <from>
                    <xdr:col>16</xdr:col>
                    <xdr:colOff>47625</xdr:colOff>
                    <xdr:row>25</xdr:row>
                    <xdr:rowOff>38100</xdr:rowOff>
                  </from>
                  <to>
                    <xdr:col>16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8" name="Check Box 197">
              <controlPr defaultSize="0" autoFill="0" autoLine="0" autoPict="0">
                <anchor moveWithCells="1">
                  <from>
                    <xdr:col>17</xdr:col>
                    <xdr:colOff>47625</xdr:colOff>
                    <xdr:row>25</xdr:row>
                    <xdr:rowOff>38100</xdr:rowOff>
                  </from>
                  <to>
                    <xdr:col>17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99" name="Check Box 198">
              <controlPr defaultSize="0" autoFill="0" autoLine="0" autoPict="0">
                <anchor moveWithCells="1">
                  <from>
                    <xdr:col>18</xdr:col>
                    <xdr:colOff>47625</xdr:colOff>
                    <xdr:row>25</xdr:row>
                    <xdr:rowOff>38100</xdr:rowOff>
                  </from>
                  <to>
                    <xdr:col>18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0" name="Check Box 199">
              <controlPr defaultSize="0" autoFill="0" autoLine="0" autoPict="0">
                <anchor moveWithCells="1">
                  <from>
                    <xdr:col>19</xdr:col>
                    <xdr:colOff>47625</xdr:colOff>
                    <xdr:row>25</xdr:row>
                    <xdr:rowOff>38100</xdr:rowOff>
                  </from>
                  <to>
                    <xdr:col>19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1" name="Check Box 200">
              <controlPr defaultSize="0" autoFill="0" autoLine="0" autoPict="0">
                <anchor moveWithCells="1">
                  <from>
                    <xdr:col>20</xdr:col>
                    <xdr:colOff>47625</xdr:colOff>
                    <xdr:row>25</xdr:row>
                    <xdr:rowOff>38100</xdr:rowOff>
                  </from>
                  <to>
                    <xdr:col>20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2" name="Check Box 201">
              <controlPr defaultSize="0" autoFill="0" autoLine="0" autoPict="0">
                <anchor moveWithCells="1">
                  <from>
                    <xdr:col>21</xdr:col>
                    <xdr:colOff>47625</xdr:colOff>
                    <xdr:row>25</xdr:row>
                    <xdr:rowOff>38100</xdr:rowOff>
                  </from>
                  <to>
                    <xdr:col>21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3" name="Check Box 202">
              <controlPr defaultSize="0" autoFill="0" autoLine="0" autoPict="0">
                <anchor moveWithCells="1">
                  <from>
                    <xdr:col>22</xdr:col>
                    <xdr:colOff>47625</xdr:colOff>
                    <xdr:row>25</xdr:row>
                    <xdr:rowOff>38100</xdr:rowOff>
                  </from>
                  <to>
                    <xdr:col>22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4" name="Check Box 203">
              <controlPr defaultSize="0" autoFill="0" autoLine="0" autoPict="0">
                <anchor moveWithCells="1">
                  <from>
                    <xdr:col>23</xdr:col>
                    <xdr:colOff>47625</xdr:colOff>
                    <xdr:row>25</xdr:row>
                    <xdr:rowOff>38100</xdr:rowOff>
                  </from>
                  <to>
                    <xdr:col>23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5" name="Check Box 204">
              <controlPr defaultSize="0" autoFill="0" autoLine="0" autoPict="0">
                <anchor moveWithCells="1">
                  <from>
                    <xdr:col>24</xdr:col>
                    <xdr:colOff>47625</xdr:colOff>
                    <xdr:row>25</xdr:row>
                    <xdr:rowOff>38100</xdr:rowOff>
                  </from>
                  <to>
                    <xdr:col>24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6" name="Check Box 205">
              <controlPr defaultSize="0" autoFill="0" autoLine="0" autoPict="0">
                <anchor moveWithCells="1">
                  <from>
                    <xdr:col>25</xdr:col>
                    <xdr:colOff>47625</xdr:colOff>
                    <xdr:row>25</xdr:row>
                    <xdr:rowOff>38100</xdr:rowOff>
                  </from>
                  <to>
                    <xdr:col>25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7" name="Check Box 206">
              <controlPr defaultSize="0" autoFill="0" autoLine="0" autoPict="0">
                <anchor moveWithCells="1">
                  <from>
                    <xdr:col>26</xdr:col>
                    <xdr:colOff>47625</xdr:colOff>
                    <xdr:row>25</xdr:row>
                    <xdr:rowOff>38100</xdr:rowOff>
                  </from>
                  <to>
                    <xdr:col>26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8" name="Check Box 207">
              <controlPr defaultSize="0" autoFill="0" autoLine="0" autoPict="0">
                <anchor moveWithCells="1">
                  <from>
                    <xdr:col>27</xdr:col>
                    <xdr:colOff>47625</xdr:colOff>
                    <xdr:row>25</xdr:row>
                    <xdr:rowOff>38100</xdr:rowOff>
                  </from>
                  <to>
                    <xdr:col>27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09" name="Check Box 208">
              <controlPr defaultSize="0" autoFill="0" autoLine="0" autoPict="0">
                <anchor moveWithCells="1">
                  <from>
                    <xdr:col>28</xdr:col>
                    <xdr:colOff>47625</xdr:colOff>
                    <xdr:row>25</xdr:row>
                    <xdr:rowOff>38100</xdr:rowOff>
                  </from>
                  <to>
                    <xdr:col>28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0" name="Check Box 209">
              <controlPr defaultSize="0" autoFill="0" autoLine="0" autoPict="0">
                <anchor moveWithCells="1">
                  <from>
                    <xdr:col>29</xdr:col>
                    <xdr:colOff>47625</xdr:colOff>
                    <xdr:row>25</xdr:row>
                    <xdr:rowOff>38100</xdr:rowOff>
                  </from>
                  <to>
                    <xdr:col>29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1" name="Check Box 210">
              <controlPr defaultSize="0" autoFill="0" autoLine="0" autoPict="0">
                <anchor moveWithCells="1">
                  <from>
                    <xdr:col>30</xdr:col>
                    <xdr:colOff>47625</xdr:colOff>
                    <xdr:row>25</xdr:row>
                    <xdr:rowOff>38100</xdr:rowOff>
                  </from>
                  <to>
                    <xdr:col>30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2" name="Check Box 211">
              <controlPr defaultSize="0" autoFill="0" autoLine="0" autoPict="0">
                <anchor moveWithCells="1">
                  <from>
                    <xdr:col>31</xdr:col>
                    <xdr:colOff>47625</xdr:colOff>
                    <xdr:row>25</xdr:row>
                    <xdr:rowOff>38100</xdr:rowOff>
                  </from>
                  <to>
                    <xdr:col>31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3" name="Check Box 212">
              <controlPr defaultSize="0" autoFill="0" autoLine="0" autoPict="0">
                <anchor moveWithCells="1">
                  <from>
                    <xdr:col>32</xdr:col>
                    <xdr:colOff>47625</xdr:colOff>
                    <xdr:row>25</xdr:row>
                    <xdr:rowOff>38100</xdr:rowOff>
                  </from>
                  <to>
                    <xdr:col>32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4" name="Check Box 213">
              <controlPr defaultSize="0" autoFill="0" autoLine="0" autoPict="0">
                <anchor moveWithCells="1">
                  <from>
                    <xdr:col>33</xdr:col>
                    <xdr:colOff>47625</xdr:colOff>
                    <xdr:row>25</xdr:row>
                    <xdr:rowOff>38100</xdr:rowOff>
                  </from>
                  <to>
                    <xdr:col>33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5" name="Check Box 214">
              <controlPr defaultSize="0" autoFill="0" autoLine="0" autoPict="0">
                <anchor moveWithCells="1">
                  <from>
                    <xdr:col>34</xdr:col>
                    <xdr:colOff>47625</xdr:colOff>
                    <xdr:row>25</xdr:row>
                    <xdr:rowOff>38100</xdr:rowOff>
                  </from>
                  <to>
                    <xdr:col>34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6" name="Check Box 215">
              <controlPr defaultSize="0" autoFill="0" autoLine="0" autoPict="0">
                <anchor moveWithCells="1">
                  <from>
                    <xdr:col>35</xdr:col>
                    <xdr:colOff>47625</xdr:colOff>
                    <xdr:row>25</xdr:row>
                    <xdr:rowOff>38100</xdr:rowOff>
                  </from>
                  <to>
                    <xdr:col>35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7" name="Check Box 216">
              <controlPr defaultSize="0" autoFill="0" autoLine="0" autoPict="0">
                <anchor moveWithCells="1">
                  <from>
                    <xdr:col>36</xdr:col>
                    <xdr:colOff>47625</xdr:colOff>
                    <xdr:row>25</xdr:row>
                    <xdr:rowOff>38100</xdr:rowOff>
                  </from>
                  <to>
                    <xdr:col>36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8" name="Check Box 217">
              <controlPr defaultSize="0" autoFill="0" autoLine="0" autoPict="0">
                <anchor moveWithCells="1">
                  <from>
                    <xdr:col>37</xdr:col>
                    <xdr:colOff>47625</xdr:colOff>
                    <xdr:row>25</xdr:row>
                    <xdr:rowOff>38100</xdr:rowOff>
                  </from>
                  <to>
                    <xdr:col>37</xdr:col>
                    <xdr:colOff>342900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19" name="Check Box 218">
              <controlPr defaultSize="0" autoFill="0" autoLine="0" autoPict="0">
                <anchor moveWithCells="1">
                  <from>
                    <xdr:col>7</xdr:col>
                    <xdr:colOff>47625</xdr:colOff>
                    <xdr:row>26</xdr:row>
                    <xdr:rowOff>38100</xdr:rowOff>
                  </from>
                  <to>
                    <xdr:col>7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0" name="Check Box 219">
              <controlPr defaultSize="0" autoFill="0" autoLine="0" autoPict="0">
                <anchor moveWithCells="1">
                  <from>
                    <xdr:col>8</xdr:col>
                    <xdr:colOff>47625</xdr:colOff>
                    <xdr:row>26</xdr:row>
                    <xdr:rowOff>38100</xdr:rowOff>
                  </from>
                  <to>
                    <xdr:col>8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1" name="Check Box 220">
              <controlPr defaultSize="0" autoFill="0" autoLine="0" autoPict="0">
                <anchor moveWithCells="1">
                  <from>
                    <xdr:col>9</xdr:col>
                    <xdr:colOff>47625</xdr:colOff>
                    <xdr:row>26</xdr:row>
                    <xdr:rowOff>38100</xdr:rowOff>
                  </from>
                  <to>
                    <xdr:col>9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2" name="Check Box 221">
              <controlPr defaultSize="0" autoFill="0" autoLine="0" autoPict="0">
                <anchor moveWithCells="1">
                  <from>
                    <xdr:col>10</xdr:col>
                    <xdr:colOff>47625</xdr:colOff>
                    <xdr:row>26</xdr:row>
                    <xdr:rowOff>38100</xdr:rowOff>
                  </from>
                  <to>
                    <xdr:col>10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3" name="Check Box 222">
              <controlPr defaultSize="0" autoFill="0" autoLine="0" autoPict="0">
                <anchor moveWithCells="1">
                  <from>
                    <xdr:col>11</xdr:col>
                    <xdr:colOff>47625</xdr:colOff>
                    <xdr:row>26</xdr:row>
                    <xdr:rowOff>38100</xdr:rowOff>
                  </from>
                  <to>
                    <xdr:col>11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4" name="Check Box 223">
              <controlPr defaultSize="0" autoFill="0" autoLine="0" autoPict="0">
                <anchor moveWithCells="1">
                  <from>
                    <xdr:col>12</xdr:col>
                    <xdr:colOff>47625</xdr:colOff>
                    <xdr:row>26</xdr:row>
                    <xdr:rowOff>38100</xdr:rowOff>
                  </from>
                  <to>
                    <xdr:col>12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5" name="Check Box 224">
              <controlPr defaultSize="0" autoFill="0" autoLine="0" autoPict="0">
                <anchor moveWithCells="1">
                  <from>
                    <xdr:col>13</xdr:col>
                    <xdr:colOff>47625</xdr:colOff>
                    <xdr:row>26</xdr:row>
                    <xdr:rowOff>38100</xdr:rowOff>
                  </from>
                  <to>
                    <xdr:col>13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6" name="Check Box 225">
              <controlPr defaultSize="0" autoFill="0" autoLine="0" autoPict="0">
                <anchor moveWithCells="1">
                  <from>
                    <xdr:col>14</xdr:col>
                    <xdr:colOff>47625</xdr:colOff>
                    <xdr:row>26</xdr:row>
                    <xdr:rowOff>38100</xdr:rowOff>
                  </from>
                  <to>
                    <xdr:col>14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7" name="Check Box 226">
              <controlPr defaultSize="0" autoFill="0" autoLine="0" autoPict="0">
                <anchor moveWithCells="1">
                  <from>
                    <xdr:col>15</xdr:col>
                    <xdr:colOff>47625</xdr:colOff>
                    <xdr:row>26</xdr:row>
                    <xdr:rowOff>38100</xdr:rowOff>
                  </from>
                  <to>
                    <xdr:col>15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8" name="Check Box 227">
              <controlPr defaultSize="0" autoFill="0" autoLine="0" autoPict="0">
                <anchor moveWithCells="1">
                  <from>
                    <xdr:col>16</xdr:col>
                    <xdr:colOff>47625</xdr:colOff>
                    <xdr:row>26</xdr:row>
                    <xdr:rowOff>38100</xdr:rowOff>
                  </from>
                  <to>
                    <xdr:col>16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29" name="Check Box 228">
              <controlPr defaultSize="0" autoFill="0" autoLine="0" autoPict="0">
                <anchor moveWithCells="1">
                  <from>
                    <xdr:col>17</xdr:col>
                    <xdr:colOff>47625</xdr:colOff>
                    <xdr:row>26</xdr:row>
                    <xdr:rowOff>38100</xdr:rowOff>
                  </from>
                  <to>
                    <xdr:col>17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0" name="Check Box 229">
              <controlPr defaultSize="0" autoFill="0" autoLine="0" autoPict="0">
                <anchor moveWithCells="1">
                  <from>
                    <xdr:col>18</xdr:col>
                    <xdr:colOff>47625</xdr:colOff>
                    <xdr:row>26</xdr:row>
                    <xdr:rowOff>38100</xdr:rowOff>
                  </from>
                  <to>
                    <xdr:col>18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1" name="Check Box 230">
              <controlPr defaultSize="0" autoFill="0" autoLine="0" autoPict="0">
                <anchor moveWithCells="1">
                  <from>
                    <xdr:col>19</xdr:col>
                    <xdr:colOff>47625</xdr:colOff>
                    <xdr:row>26</xdr:row>
                    <xdr:rowOff>38100</xdr:rowOff>
                  </from>
                  <to>
                    <xdr:col>19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2" name="Check Box 231">
              <controlPr defaultSize="0" autoFill="0" autoLine="0" autoPict="0">
                <anchor moveWithCells="1">
                  <from>
                    <xdr:col>20</xdr:col>
                    <xdr:colOff>47625</xdr:colOff>
                    <xdr:row>26</xdr:row>
                    <xdr:rowOff>38100</xdr:rowOff>
                  </from>
                  <to>
                    <xdr:col>20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3" name="Check Box 232">
              <controlPr defaultSize="0" autoFill="0" autoLine="0" autoPict="0">
                <anchor moveWithCells="1">
                  <from>
                    <xdr:col>21</xdr:col>
                    <xdr:colOff>47625</xdr:colOff>
                    <xdr:row>26</xdr:row>
                    <xdr:rowOff>38100</xdr:rowOff>
                  </from>
                  <to>
                    <xdr:col>21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4" name="Check Box 233">
              <controlPr defaultSize="0" autoFill="0" autoLine="0" autoPict="0">
                <anchor moveWithCells="1">
                  <from>
                    <xdr:col>22</xdr:col>
                    <xdr:colOff>47625</xdr:colOff>
                    <xdr:row>26</xdr:row>
                    <xdr:rowOff>38100</xdr:rowOff>
                  </from>
                  <to>
                    <xdr:col>22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5" name="Check Box 234">
              <controlPr defaultSize="0" autoFill="0" autoLine="0" autoPict="0">
                <anchor moveWithCells="1">
                  <from>
                    <xdr:col>23</xdr:col>
                    <xdr:colOff>47625</xdr:colOff>
                    <xdr:row>26</xdr:row>
                    <xdr:rowOff>38100</xdr:rowOff>
                  </from>
                  <to>
                    <xdr:col>23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6" name="Check Box 235">
              <controlPr defaultSize="0" autoFill="0" autoLine="0" autoPict="0">
                <anchor moveWithCells="1">
                  <from>
                    <xdr:col>24</xdr:col>
                    <xdr:colOff>47625</xdr:colOff>
                    <xdr:row>26</xdr:row>
                    <xdr:rowOff>38100</xdr:rowOff>
                  </from>
                  <to>
                    <xdr:col>24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7" name="Check Box 236">
              <controlPr defaultSize="0" autoFill="0" autoLine="0" autoPict="0">
                <anchor moveWithCells="1">
                  <from>
                    <xdr:col>25</xdr:col>
                    <xdr:colOff>47625</xdr:colOff>
                    <xdr:row>26</xdr:row>
                    <xdr:rowOff>38100</xdr:rowOff>
                  </from>
                  <to>
                    <xdr:col>25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8" name="Check Box 237">
              <controlPr defaultSize="0" autoFill="0" autoLine="0" autoPict="0">
                <anchor moveWithCells="1">
                  <from>
                    <xdr:col>26</xdr:col>
                    <xdr:colOff>47625</xdr:colOff>
                    <xdr:row>26</xdr:row>
                    <xdr:rowOff>38100</xdr:rowOff>
                  </from>
                  <to>
                    <xdr:col>26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39" name="Check Box 238">
              <controlPr defaultSize="0" autoFill="0" autoLine="0" autoPict="0">
                <anchor moveWithCells="1">
                  <from>
                    <xdr:col>27</xdr:col>
                    <xdr:colOff>47625</xdr:colOff>
                    <xdr:row>26</xdr:row>
                    <xdr:rowOff>38100</xdr:rowOff>
                  </from>
                  <to>
                    <xdr:col>27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0" name="Check Box 239">
              <controlPr defaultSize="0" autoFill="0" autoLine="0" autoPict="0">
                <anchor moveWithCells="1">
                  <from>
                    <xdr:col>28</xdr:col>
                    <xdr:colOff>47625</xdr:colOff>
                    <xdr:row>26</xdr:row>
                    <xdr:rowOff>38100</xdr:rowOff>
                  </from>
                  <to>
                    <xdr:col>28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1" name="Check Box 240">
              <controlPr defaultSize="0" autoFill="0" autoLine="0" autoPict="0">
                <anchor moveWithCells="1">
                  <from>
                    <xdr:col>29</xdr:col>
                    <xdr:colOff>47625</xdr:colOff>
                    <xdr:row>26</xdr:row>
                    <xdr:rowOff>38100</xdr:rowOff>
                  </from>
                  <to>
                    <xdr:col>29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2" name="Check Box 241">
              <controlPr defaultSize="0" autoFill="0" autoLine="0" autoPict="0">
                <anchor moveWithCells="1">
                  <from>
                    <xdr:col>30</xdr:col>
                    <xdr:colOff>47625</xdr:colOff>
                    <xdr:row>26</xdr:row>
                    <xdr:rowOff>38100</xdr:rowOff>
                  </from>
                  <to>
                    <xdr:col>30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3" name="Check Box 242">
              <controlPr defaultSize="0" autoFill="0" autoLine="0" autoPict="0">
                <anchor moveWithCells="1">
                  <from>
                    <xdr:col>31</xdr:col>
                    <xdr:colOff>47625</xdr:colOff>
                    <xdr:row>26</xdr:row>
                    <xdr:rowOff>38100</xdr:rowOff>
                  </from>
                  <to>
                    <xdr:col>31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4" name="Check Box 243">
              <controlPr defaultSize="0" autoFill="0" autoLine="0" autoPict="0">
                <anchor moveWithCells="1">
                  <from>
                    <xdr:col>32</xdr:col>
                    <xdr:colOff>47625</xdr:colOff>
                    <xdr:row>26</xdr:row>
                    <xdr:rowOff>38100</xdr:rowOff>
                  </from>
                  <to>
                    <xdr:col>32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5" name="Check Box 244">
              <controlPr defaultSize="0" autoFill="0" autoLine="0" autoPict="0">
                <anchor moveWithCells="1">
                  <from>
                    <xdr:col>33</xdr:col>
                    <xdr:colOff>47625</xdr:colOff>
                    <xdr:row>26</xdr:row>
                    <xdr:rowOff>38100</xdr:rowOff>
                  </from>
                  <to>
                    <xdr:col>33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6" name="Check Box 245">
              <controlPr defaultSize="0" autoFill="0" autoLine="0" autoPict="0">
                <anchor moveWithCells="1">
                  <from>
                    <xdr:col>34</xdr:col>
                    <xdr:colOff>47625</xdr:colOff>
                    <xdr:row>26</xdr:row>
                    <xdr:rowOff>38100</xdr:rowOff>
                  </from>
                  <to>
                    <xdr:col>34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7" name="Check Box 246">
              <controlPr defaultSize="0" autoFill="0" autoLine="0" autoPict="0">
                <anchor moveWithCells="1">
                  <from>
                    <xdr:col>35</xdr:col>
                    <xdr:colOff>47625</xdr:colOff>
                    <xdr:row>26</xdr:row>
                    <xdr:rowOff>38100</xdr:rowOff>
                  </from>
                  <to>
                    <xdr:col>35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8" name="Check Box 247">
              <controlPr defaultSize="0" autoFill="0" autoLine="0" autoPict="0">
                <anchor moveWithCells="1">
                  <from>
                    <xdr:col>36</xdr:col>
                    <xdr:colOff>47625</xdr:colOff>
                    <xdr:row>26</xdr:row>
                    <xdr:rowOff>38100</xdr:rowOff>
                  </from>
                  <to>
                    <xdr:col>36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49" name="Check Box 248">
              <controlPr defaultSize="0" autoFill="0" autoLine="0" autoPict="0">
                <anchor moveWithCells="1">
                  <from>
                    <xdr:col>37</xdr:col>
                    <xdr:colOff>47625</xdr:colOff>
                    <xdr:row>26</xdr:row>
                    <xdr:rowOff>38100</xdr:rowOff>
                  </from>
                  <to>
                    <xdr:col>37</xdr:col>
                    <xdr:colOff>342900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0" name="Check Box 249">
              <controlPr defaultSize="0" autoFill="0" autoLine="0" autoPict="0">
                <anchor moveWithCells="1">
                  <from>
                    <xdr:col>7</xdr:col>
                    <xdr:colOff>47625</xdr:colOff>
                    <xdr:row>27</xdr:row>
                    <xdr:rowOff>38100</xdr:rowOff>
                  </from>
                  <to>
                    <xdr:col>7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1" name="Check Box 250">
              <controlPr defaultSize="0" autoFill="0" autoLine="0" autoPict="0">
                <anchor moveWithCells="1">
                  <from>
                    <xdr:col>8</xdr:col>
                    <xdr:colOff>47625</xdr:colOff>
                    <xdr:row>27</xdr:row>
                    <xdr:rowOff>38100</xdr:rowOff>
                  </from>
                  <to>
                    <xdr:col>8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2" name="Check Box 251">
              <controlPr defaultSize="0" autoFill="0" autoLine="0" autoPict="0">
                <anchor moveWithCells="1">
                  <from>
                    <xdr:col>9</xdr:col>
                    <xdr:colOff>47625</xdr:colOff>
                    <xdr:row>27</xdr:row>
                    <xdr:rowOff>38100</xdr:rowOff>
                  </from>
                  <to>
                    <xdr:col>9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3" name="Check Box 252">
              <controlPr defaultSize="0" autoFill="0" autoLine="0" autoPict="0">
                <anchor moveWithCells="1">
                  <from>
                    <xdr:col>10</xdr:col>
                    <xdr:colOff>47625</xdr:colOff>
                    <xdr:row>27</xdr:row>
                    <xdr:rowOff>38100</xdr:rowOff>
                  </from>
                  <to>
                    <xdr:col>10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4" name="Check Box 253">
              <controlPr defaultSize="0" autoFill="0" autoLine="0" autoPict="0">
                <anchor moveWithCells="1">
                  <from>
                    <xdr:col>11</xdr:col>
                    <xdr:colOff>47625</xdr:colOff>
                    <xdr:row>27</xdr:row>
                    <xdr:rowOff>38100</xdr:rowOff>
                  </from>
                  <to>
                    <xdr:col>11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5" name="Check Box 254">
              <controlPr defaultSize="0" autoFill="0" autoLine="0" autoPict="0">
                <anchor moveWithCells="1">
                  <from>
                    <xdr:col>12</xdr:col>
                    <xdr:colOff>47625</xdr:colOff>
                    <xdr:row>27</xdr:row>
                    <xdr:rowOff>38100</xdr:rowOff>
                  </from>
                  <to>
                    <xdr:col>12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6" name="Check Box 255">
              <controlPr defaultSize="0" autoFill="0" autoLine="0" autoPict="0">
                <anchor moveWithCells="1">
                  <from>
                    <xdr:col>13</xdr:col>
                    <xdr:colOff>47625</xdr:colOff>
                    <xdr:row>27</xdr:row>
                    <xdr:rowOff>38100</xdr:rowOff>
                  </from>
                  <to>
                    <xdr:col>13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7" name="Check Box 256">
              <controlPr defaultSize="0" autoFill="0" autoLine="0" autoPict="0">
                <anchor moveWithCells="1">
                  <from>
                    <xdr:col>14</xdr:col>
                    <xdr:colOff>47625</xdr:colOff>
                    <xdr:row>27</xdr:row>
                    <xdr:rowOff>38100</xdr:rowOff>
                  </from>
                  <to>
                    <xdr:col>14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8" name="Check Box 257">
              <controlPr defaultSize="0" autoFill="0" autoLine="0" autoPict="0">
                <anchor moveWithCells="1">
                  <from>
                    <xdr:col>15</xdr:col>
                    <xdr:colOff>47625</xdr:colOff>
                    <xdr:row>27</xdr:row>
                    <xdr:rowOff>38100</xdr:rowOff>
                  </from>
                  <to>
                    <xdr:col>15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59" name="Check Box 258">
              <controlPr defaultSize="0" autoFill="0" autoLine="0" autoPict="0">
                <anchor moveWithCells="1">
                  <from>
                    <xdr:col>16</xdr:col>
                    <xdr:colOff>47625</xdr:colOff>
                    <xdr:row>27</xdr:row>
                    <xdr:rowOff>38100</xdr:rowOff>
                  </from>
                  <to>
                    <xdr:col>16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0" name="Check Box 259">
              <controlPr defaultSize="0" autoFill="0" autoLine="0" autoPict="0">
                <anchor moveWithCells="1">
                  <from>
                    <xdr:col>17</xdr:col>
                    <xdr:colOff>47625</xdr:colOff>
                    <xdr:row>27</xdr:row>
                    <xdr:rowOff>38100</xdr:rowOff>
                  </from>
                  <to>
                    <xdr:col>17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1" name="Check Box 260">
              <controlPr defaultSize="0" autoFill="0" autoLine="0" autoPict="0">
                <anchor moveWithCells="1">
                  <from>
                    <xdr:col>18</xdr:col>
                    <xdr:colOff>47625</xdr:colOff>
                    <xdr:row>27</xdr:row>
                    <xdr:rowOff>38100</xdr:rowOff>
                  </from>
                  <to>
                    <xdr:col>18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2" name="Check Box 261">
              <controlPr defaultSize="0" autoFill="0" autoLine="0" autoPict="0">
                <anchor moveWithCells="1">
                  <from>
                    <xdr:col>19</xdr:col>
                    <xdr:colOff>47625</xdr:colOff>
                    <xdr:row>27</xdr:row>
                    <xdr:rowOff>38100</xdr:rowOff>
                  </from>
                  <to>
                    <xdr:col>19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3" name="Check Box 262">
              <controlPr defaultSize="0" autoFill="0" autoLine="0" autoPict="0">
                <anchor moveWithCells="1">
                  <from>
                    <xdr:col>20</xdr:col>
                    <xdr:colOff>47625</xdr:colOff>
                    <xdr:row>27</xdr:row>
                    <xdr:rowOff>38100</xdr:rowOff>
                  </from>
                  <to>
                    <xdr:col>20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4" name="Check Box 263">
              <controlPr defaultSize="0" autoFill="0" autoLine="0" autoPict="0">
                <anchor moveWithCells="1">
                  <from>
                    <xdr:col>21</xdr:col>
                    <xdr:colOff>47625</xdr:colOff>
                    <xdr:row>27</xdr:row>
                    <xdr:rowOff>38100</xdr:rowOff>
                  </from>
                  <to>
                    <xdr:col>21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5" name="Check Box 264">
              <controlPr defaultSize="0" autoFill="0" autoLine="0" autoPict="0">
                <anchor moveWithCells="1">
                  <from>
                    <xdr:col>22</xdr:col>
                    <xdr:colOff>47625</xdr:colOff>
                    <xdr:row>27</xdr:row>
                    <xdr:rowOff>38100</xdr:rowOff>
                  </from>
                  <to>
                    <xdr:col>22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6" name="Check Box 265">
              <controlPr defaultSize="0" autoFill="0" autoLine="0" autoPict="0">
                <anchor moveWithCells="1">
                  <from>
                    <xdr:col>23</xdr:col>
                    <xdr:colOff>47625</xdr:colOff>
                    <xdr:row>27</xdr:row>
                    <xdr:rowOff>38100</xdr:rowOff>
                  </from>
                  <to>
                    <xdr:col>23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7" name="Check Box 266">
              <controlPr defaultSize="0" autoFill="0" autoLine="0" autoPict="0">
                <anchor moveWithCells="1">
                  <from>
                    <xdr:col>24</xdr:col>
                    <xdr:colOff>47625</xdr:colOff>
                    <xdr:row>27</xdr:row>
                    <xdr:rowOff>38100</xdr:rowOff>
                  </from>
                  <to>
                    <xdr:col>24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8" name="Check Box 267">
              <controlPr defaultSize="0" autoFill="0" autoLine="0" autoPict="0">
                <anchor moveWithCells="1">
                  <from>
                    <xdr:col>25</xdr:col>
                    <xdr:colOff>47625</xdr:colOff>
                    <xdr:row>27</xdr:row>
                    <xdr:rowOff>38100</xdr:rowOff>
                  </from>
                  <to>
                    <xdr:col>25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69" name="Check Box 268">
              <controlPr defaultSize="0" autoFill="0" autoLine="0" autoPict="0">
                <anchor moveWithCells="1">
                  <from>
                    <xdr:col>26</xdr:col>
                    <xdr:colOff>47625</xdr:colOff>
                    <xdr:row>27</xdr:row>
                    <xdr:rowOff>38100</xdr:rowOff>
                  </from>
                  <to>
                    <xdr:col>26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0" name="Check Box 269">
              <controlPr defaultSize="0" autoFill="0" autoLine="0" autoPict="0">
                <anchor moveWithCells="1">
                  <from>
                    <xdr:col>27</xdr:col>
                    <xdr:colOff>47625</xdr:colOff>
                    <xdr:row>27</xdr:row>
                    <xdr:rowOff>38100</xdr:rowOff>
                  </from>
                  <to>
                    <xdr:col>27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1" name="Check Box 270">
              <controlPr defaultSize="0" autoFill="0" autoLine="0" autoPict="0">
                <anchor moveWithCells="1">
                  <from>
                    <xdr:col>28</xdr:col>
                    <xdr:colOff>47625</xdr:colOff>
                    <xdr:row>27</xdr:row>
                    <xdr:rowOff>38100</xdr:rowOff>
                  </from>
                  <to>
                    <xdr:col>28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2" name="Check Box 271">
              <controlPr defaultSize="0" autoFill="0" autoLine="0" autoPict="0">
                <anchor moveWithCells="1">
                  <from>
                    <xdr:col>29</xdr:col>
                    <xdr:colOff>47625</xdr:colOff>
                    <xdr:row>27</xdr:row>
                    <xdr:rowOff>38100</xdr:rowOff>
                  </from>
                  <to>
                    <xdr:col>29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3" name="Check Box 272">
              <controlPr defaultSize="0" autoFill="0" autoLine="0" autoPict="0">
                <anchor moveWithCells="1">
                  <from>
                    <xdr:col>30</xdr:col>
                    <xdr:colOff>47625</xdr:colOff>
                    <xdr:row>27</xdr:row>
                    <xdr:rowOff>38100</xdr:rowOff>
                  </from>
                  <to>
                    <xdr:col>30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4" name="Check Box 273">
              <controlPr defaultSize="0" autoFill="0" autoLine="0" autoPict="0">
                <anchor moveWithCells="1">
                  <from>
                    <xdr:col>31</xdr:col>
                    <xdr:colOff>47625</xdr:colOff>
                    <xdr:row>27</xdr:row>
                    <xdr:rowOff>38100</xdr:rowOff>
                  </from>
                  <to>
                    <xdr:col>31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5" name="Check Box 274">
              <controlPr defaultSize="0" autoFill="0" autoLine="0" autoPict="0">
                <anchor moveWithCells="1">
                  <from>
                    <xdr:col>32</xdr:col>
                    <xdr:colOff>47625</xdr:colOff>
                    <xdr:row>27</xdr:row>
                    <xdr:rowOff>38100</xdr:rowOff>
                  </from>
                  <to>
                    <xdr:col>32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6" name="Check Box 275">
              <controlPr defaultSize="0" autoFill="0" autoLine="0" autoPict="0">
                <anchor moveWithCells="1">
                  <from>
                    <xdr:col>33</xdr:col>
                    <xdr:colOff>47625</xdr:colOff>
                    <xdr:row>27</xdr:row>
                    <xdr:rowOff>38100</xdr:rowOff>
                  </from>
                  <to>
                    <xdr:col>33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7" name="Check Box 276">
              <controlPr defaultSize="0" autoFill="0" autoLine="0" autoPict="0">
                <anchor moveWithCells="1">
                  <from>
                    <xdr:col>34</xdr:col>
                    <xdr:colOff>47625</xdr:colOff>
                    <xdr:row>27</xdr:row>
                    <xdr:rowOff>38100</xdr:rowOff>
                  </from>
                  <to>
                    <xdr:col>34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8" name="Check Box 277">
              <controlPr defaultSize="0" autoFill="0" autoLine="0" autoPict="0">
                <anchor moveWithCells="1">
                  <from>
                    <xdr:col>35</xdr:col>
                    <xdr:colOff>47625</xdr:colOff>
                    <xdr:row>27</xdr:row>
                    <xdr:rowOff>38100</xdr:rowOff>
                  </from>
                  <to>
                    <xdr:col>35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79" name="Check Box 278">
              <controlPr defaultSize="0" autoFill="0" autoLine="0" autoPict="0">
                <anchor moveWithCells="1">
                  <from>
                    <xdr:col>36</xdr:col>
                    <xdr:colOff>47625</xdr:colOff>
                    <xdr:row>27</xdr:row>
                    <xdr:rowOff>38100</xdr:rowOff>
                  </from>
                  <to>
                    <xdr:col>36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0" name="Check Box 279">
              <controlPr defaultSize="0" autoFill="0" autoLine="0" autoPict="0">
                <anchor moveWithCells="1">
                  <from>
                    <xdr:col>37</xdr:col>
                    <xdr:colOff>47625</xdr:colOff>
                    <xdr:row>27</xdr:row>
                    <xdr:rowOff>38100</xdr:rowOff>
                  </from>
                  <to>
                    <xdr:col>37</xdr:col>
                    <xdr:colOff>342900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1" name="Check Box 280">
              <controlPr defaultSize="0" autoFill="0" autoLine="0" autoPict="0">
                <anchor moveWithCells="1">
                  <from>
                    <xdr:col>7</xdr:col>
                    <xdr:colOff>47625</xdr:colOff>
                    <xdr:row>28</xdr:row>
                    <xdr:rowOff>38100</xdr:rowOff>
                  </from>
                  <to>
                    <xdr:col>7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2" name="Check Box 281">
              <controlPr defaultSize="0" autoFill="0" autoLine="0" autoPict="0">
                <anchor moveWithCells="1">
                  <from>
                    <xdr:col>8</xdr:col>
                    <xdr:colOff>47625</xdr:colOff>
                    <xdr:row>28</xdr:row>
                    <xdr:rowOff>38100</xdr:rowOff>
                  </from>
                  <to>
                    <xdr:col>8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3" name="Check Box 282">
              <controlPr defaultSize="0" autoFill="0" autoLine="0" autoPict="0">
                <anchor moveWithCells="1">
                  <from>
                    <xdr:col>9</xdr:col>
                    <xdr:colOff>47625</xdr:colOff>
                    <xdr:row>28</xdr:row>
                    <xdr:rowOff>38100</xdr:rowOff>
                  </from>
                  <to>
                    <xdr:col>9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4" name="Check Box 283">
              <controlPr defaultSize="0" autoFill="0" autoLine="0" autoPict="0">
                <anchor moveWithCells="1">
                  <from>
                    <xdr:col>10</xdr:col>
                    <xdr:colOff>47625</xdr:colOff>
                    <xdr:row>28</xdr:row>
                    <xdr:rowOff>38100</xdr:rowOff>
                  </from>
                  <to>
                    <xdr:col>10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5" name="Check Box 284">
              <controlPr defaultSize="0" autoFill="0" autoLine="0" autoPict="0">
                <anchor moveWithCells="1">
                  <from>
                    <xdr:col>11</xdr:col>
                    <xdr:colOff>47625</xdr:colOff>
                    <xdr:row>28</xdr:row>
                    <xdr:rowOff>38100</xdr:rowOff>
                  </from>
                  <to>
                    <xdr:col>11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6" name="Check Box 285">
              <controlPr defaultSize="0" autoFill="0" autoLine="0" autoPict="0">
                <anchor moveWithCells="1">
                  <from>
                    <xdr:col>12</xdr:col>
                    <xdr:colOff>47625</xdr:colOff>
                    <xdr:row>28</xdr:row>
                    <xdr:rowOff>38100</xdr:rowOff>
                  </from>
                  <to>
                    <xdr:col>12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7" name="Check Box 286">
              <controlPr defaultSize="0" autoFill="0" autoLine="0" autoPict="0">
                <anchor moveWithCells="1">
                  <from>
                    <xdr:col>13</xdr:col>
                    <xdr:colOff>47625</xdr:colOff>
                    <xdr:row>28</xdr:row>
                    <xdr:rowOff>38100</xdr:rowOff>
                  </from>
                  <to>
                    <xdr:col>13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8" name="Check Box 287">
              <controlPr defaultSize="0" autoFill="0" autoLine="0" autoPict="0">
                <anchor moveWithCells="1">
                  <from>
                    <xdr:col>14</xdr:col>
                    <xdr:colOff>47625</xdr:colOff>
                    <xdr:row>28</xdr:row>
                    <xdr:rowOff>38100</xdr:rowOff>
                  </from>
                  <to>
                    <xdr:col>14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89" name="Check Box 288">
              <controlPr defaultSize="0" autoFill="0" autoLine="0" autoPict="0">
                <anchor moveWithCells="1">
                  <from>
                    <xdr:col>15</xdr:col>
                    <xdr:colOff>47625</xdr:colOff>
                    <xdr:row>28</xdr:row>
                    <xdr:rowOff>38100</xdr:rowOff>
                  </from>
                  <to>
                    <xdr:col>15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0" name="Check Box 289">
              <controlPr defaultSize="0" autoFill="0" autoLine="0" autoPict="0">
                <anchor moveWithCells="1">
                  <from>
                    <xdr:col>16</xdr:col>
                    <xdr:colOff>47625</xdr:colOff>
                    <xdr:row>28</xdr:row>
                    <xdr:rowOff>38100</xdr:rowOff>
                  </from>
                  <to>
                    <xdr:col>16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1" name="Check Box 290">
              <controlPr defaultSize="0" autoFill="0" autoLine="0" autoPict="0">
                <anchor moveWithCells="1">
                  <from>
                    <xdr:col>17</xdr:col>
                    <xdr:colOff>47625</xdr:colOff>
                    <xdr:row>28</xdr:row>
                    <xdr:rowOff>38100</xdr:rowOff>
                  </from>
                  <to>
                    <xdr:col>17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2" name="Check Box 291">
              <controlPr defaultSize="0" autoFill="0" autoLine="0" autoPict="0">
                <anchor moveWithCells="1">
                  <from>
                    <xdr:col>18</xdr:col>
                    <xdr:colOff>47625</xdr:colOff>
                    <xdr:row>28</xdr:row>
                    <xdr:rowOff>38100</xdr:rowOff>
                  </from>
                  <to>
                    <xdr:col>18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3" name="Check Box 292">
              <controlPr defaultSize="0" autoFill="0" autoLine="0" autoPict="0">
                <anchor moveWithCells="1">
                  <from>
                    <xdr:col>19</xdr:col>
                    <xdr:colOff>47625</xdr:colOff>
                    <xdr:row>28</xdr:row>
                    <xdr:rowOff>38100</xdr:rowOff>
                  </from>
                  <to>
                    <xdr:col>19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4" name="Check Box 293">
              <controlPr defaultSize="0" autoFill="0" autoLine="0" autoPict="0">
                <anchor moveWithCells="1">
                  <from>
                    <xdr:col>20</xdr:col>
                    <xdr:colOff>47625</xdr:colOff>
                    <xdr:row>28</xdr:row>
                    <xdr:rowOff>38100</xdr:rowOff>
                  </from>
                  <to>
                    <xdr:col>20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5" name="Check Box 294">
              <controlPr defaultSize="0" autoFill="0" autoLine="0" autoPict="0">
                <anchor moveWithCells="1">
                  <from>
                    <xdr:col>21</xdr:col>
                    <xdr:colOff>47625</xdr:colOff>
                    <xdr:row>28</xdr:row>
                    <xdr:rowOff>38100</xdr:rowOff>
                  </from>
                  <to>
                    <xdr:col>21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6" name="Check Box 295">
              <controlPr defaultSize="0" autoFill="0" autoLine="0" autoPict="0">
                <anchor moveWithCells="1">
                  <from>
                    <xdr:col>22</xdr:col>
                    <xdr:colOff>47625</xdr:colOff>
                    <xdr:row>28</xdr:row>
                    <xdr:rowOff>38100</xdr:rowOff>
                  </from>
                  <to>
                    <xdr:col>22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7" name="Check Box 296">
              <controlPr defaultSize="0" autoFill="0" autoLine="0" autoPict="0">
                <anchor moveWithCells="1">
                  <from>
                    <xdr:col>23</xdr:col>
                    <xdr:colOff>47625</xdr:colOff>
                    <xdr:row>28</xdr:row>
                    <xdr:rowOff>38100</xdr:rowOff>
                  </from>
                  <to>
                    <xdr:col>23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8" name="Check Box 297">
              <controlPr defaultSize="0" autoFill="0" autoLine="0" autoPict="0">
                <anchor moveWithCells="1">
                  <from>
                    <xdr:col>24</xdr:col>
                    <xdr:colOff>47625</xdr:colOff>
                    <xdr:row>28</xdr:row>
                    <xdr:rowOff>38100</xdr:rowOff>
                  </from>
                  <to>
                    <xdr:col>24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99" name="Check Box 298">
              <controlPr defaultSize="0" autoFill="0" autoLine="0" autoPict="0">
                <anchor moveWithCells="1">
                  <from>
                    <xdr:col>25</xdr:col>
                    <xdr:colOff>47625</xdr:colOff>
                    <xdr:row>28</xdr:row>
                    <xdr:rowOff>38100</xdr:rowOff>
                  </from>
                  <to>
                    <xdr:col>25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0" name="Check Box 299">
              <controlPr defaultSize="0" autoFill="0" autoLine="0" autoPict="0">
                <anchor moveWithCells="1">
                  <from>
                    <xdr:col>26</xdr:col>
                    <xdr:colOff>47625</xdr:colOff>
                    <xdr:row>28</xdr:row>
                    <xdr:rowOff>38100</xdr:rowOff>
                  </from>
                  <to>
                    <xdr:col>26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1" name="Check Box 300">
              <controlPr defaultSize="0" autoFill="0" autoLine="0" autoPict="0">
                <anchor moveWithCells="1">
                  <from>
                    <xdr:col>27</xdr:col>
                    <xdr:colOff>47625</xdr:colOff>
                    <xdr:row>28</xdr:row>
                    <xdr:rowOff>38100</xdr:rowOff>
                  </from>
                  <to>
                    <xdr:col>27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2" name="Check Box 301">
              <controlPr defaultSize="0" autoFill="0" autoLine="0" autoPict="0">
                <anchor moveWithCells="1">
                  <from>
                    <xdr:col>28</xdr:col>
                    <xdr:colOff>47625</xdr:colOff>
                    <xdr:row>28</xdr:row>
                    <xdr:rowOff>38100</xdr:rowOff>
                  </from>
                  <to>
                    <xdr:col>28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3" name="Check Box 302">
              <controlPr defaultSize="0" autoFill="0" autoLine="0" autoPict="0">
                <anchor moveWithCells="1">
                  <from>
                    <xdr:col>29</xdr:col>
                    <xdr:colOff>47625</xdr:colOff>
                    <xdr:row>28</xdr:row>
                    <xdr:rowOff>38100</xdr:rowOff>
                  </from>
                  <to>
                    <xdr:col>29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4" name="Check Box 303">
              <controlPr defaultSize="0" autoFill="0" autoLine="0" autoPict="0">
                <anchor moveWithCells="1">
                  <from>
                    <xdr:col>30</xdr:col>
                    <xdr:colOff>47625</xdr:colOff>
                    <xdr:row>28</xdr:row>
                    <xdr:rowOff>38100</xdr:rowOff>
                  </from>
                  <to>
                    <xdr:col>30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5" name="Check Box 304">
              <controlPr defaultSize="0" autoFill="0" autoLine="0" autoPict="0">
                <anchor moveWithCells="1">
                  <from>
                    <xdr:col>31</xdr:col>
                    <xdr:colOff>47625</xdr:colOff>
                    <xdr:row>28</xdr:row>
                    <xdr:rowOff>38100</xdr:rowOff>
                  </from>
                  <to>
                    <xdr:col>31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6" name="Check Box 305">
              <controlPr defaultSize="0" autoFill="0" autoLine="0" autoPict="0">
                <anchor moveWithCells="1">
                  <from>
                    <xdr:col>32</xdr:col>
                    <xdr:colOff>47625</xdr:colOff>
                    <xdr:row>28</xdr:row>
                    <xdr:rowOff>38100</xdr:rowOff>
                  </from>
                  <to>
                    <xdr:col>32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7" name="Check Box 306">
              <controlPr defaultSize="0" autoFill="0" autoLine="0" autoPict="0">
                <anchor moveWithCells="1">
                  <from>
                    <xdr:col>33</xdr:col>
                    <xdr:colOff>47625</xdr:colOff>
                    <xdr:row>28</xdr:row>
                    <xdr:rowOff>38100</xdr:rowOff>
                  </from>
                  <to>
                    <xdr:col>33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8" name="Check Box 307">
              <controlPr defaultSize="0" autoFill="0" autoLine="0" autoPict="0">
                <anchor moveWithCells="1">
                  <from>
                    <xdr:col>34</xdr:col>
                    <xdr:colOff>47625</xdr:colOff>
                    <xdr:row>28</xdr:row>
                    <xdr:rowOff>38100</xdr:rowOff>
                  </from>
                  <to>
                    <xdr:col>34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09" name="Check Box 308">
              <controlPr defaultSize="0" autoFill="0" autoLine="0" autoPict="0">
                <anchor moveWithCells="1">
                  <from>
                    <xdr:col>35</xdr:col>
                    <xdr:colOff>47625</xdr:colOff>
                    <xdr:row>28</xdr:row>
                    <xdr:rowOff>38100</xdr:rowOff>
                  </from>
                  <to>
                    <xdr:col>35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0" name="Check Box 309">
              <controlPr defaultSize="0" autoFill="0" autoLine="0" autoPict="0">
                <anchor moveWithCells="1">
                  <from>
                    <xdr:col>36</xdr:col>
                    <xdr:colOff>47625</xdr:colOff>
                    <xdr:row>28</xdr:row>
                    <xdr:rowOff>38100</xdr:rowOff>
                  </from>
                  <to>
                    <xdr:col>36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1" name="Check Box 310">
              <controlPr defaultSize="0" autoFill="0" autoLine="0" autoPict="0">
                <anchor moveWithCells="1">
                  <from>
                    <xdr:col>37</xdr:col>
                    <xdr:colOff>47625</xdr:colOff>
                    <xdr:row>28</xdr:row>
                    <xdr:rowOff>38100</xdr:rowOff>
                  </from>
                  <to>
                    <xdr:col>37</xdr:col>
                    <xdr:colOff>342900</xdr:colOff>
                    <xdr:row>28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2" name="Check Box 311">
              <controlPr defaultSize="0" autoFill="0" autoLine="0" autoPict="0">
                <anchor moveWithCells="1">
                  <from>
                    <xdr:col>7</xdr:col>
                    <xdr:colOff>47625</xdr:colOff>
                    <xdr:row>29</xdr:row>
                    <xdr:rowOff>38100</xdr:rowOff>
                  </from>
                  <to>
                    <xdr:col>7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3" name="Check Box 312">
              <controlPr defaultSize="0" autoFill="0" autoLine="0" autoPict="0">
                <anchor moveWithCells="1">
                  <from>
                    <xdr:col>8</xdr:col>
                    <xdr:colOff>47625</xdr:colOff>
                    <xdr:row>29</xdr:row>
                    <xdr:rowOff>38100</xdr:rowOff>
                  </from>
                  <to>
                    <xdr:col>8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4" name="Check Box 313">
              <controlPr defaultSize="0" autoFill="0" autoLine="0" autoPict="0">
                <anchor moveWithCells="1">
                  <from>
                    <xdr:col>9</xdr:col>
                    <xdr:colOff>47625</xdr:colOff>
                    <xdr:row>29</xdr:row>
                    <xdr:rowOff>38100</xdr:rowOff>
                  </from>
                  <to>
                    <xdr:col>9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5" name="Check Box 314">
              <controlPr defaultSize="0" autoFill="0" autoLine="0" autoPict="0">
                <anchor moveWithCells="1">
                  <from>
                    <xdr:col>10</xdr:col>
                    <xdr:colOff>47625</xdr:colOff>
                    <xdr:row>29</xdr:row>
                    <xdr:rowOff>38100</xdr:rowOff>
                  </from>
                  <to>
                    <xdr:col>10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6" name="Check Box 315">
              <controlPr defaultSize="0" autoFill="0" autoLine="0" autoPict="0">
                <anchor moveWithCells="1">
                  <from>
                    <xdr:col>11</xdr:col>
                    <xdr:colOff>47625</xdr:colOff>
                    <xdr:row>29</xdr:row>
                    <xdr:rowOff>38100</xdr:rowOff>
                  </from>
                  <to>
                    <xdr:col>11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7" name="Check Box 316">
              <controlPr defaultSize="0" autoFill="0" autoLine="0" autoPict="0">
                <anchor moveWithCells="1">
                  <from>
                    <xdr:col>12</xdr:col>
                    <xdr:colOff>47625</xdr:colOff>
                    <xdr:row>29</xdr:row>
                    <xdr:rowOff>38100</xdr:rowOff>
                  </from>
                  <to>
                    <xdr:col>12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8" name="Check Box 317">
              <controlPr defaultSize="0" autoFill="0" autoLine="0" autoPict="0">
                <anchor moveWithCells="1">
                  <from>
                    <xdr:col>13</xdr:col>
                    <xdr:colOff>47625</xdr:colOff>
                    <xdr:row>29</xdr:row>
                    <xdr:rowOff>38100</xdr:rowOff>
                  </from>
                  <to>
                    <xdr:col>13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19" name="Check Box 318">
              <controlPr defaultSize="0" autoFill="0" autoLine="0" autoPict="0">
                <anchor moveWithCells="1">
                  <from>
                    <xdr:col>14</xdr:col>
                    <xdr:colOff>47625</xdr:colOff>
                    <xdr:row>29</xdr:row>
                    <xdr:rowOff>38100</xdr:rowOff>
                  </from>
                  <to>
                    <xdr:col>14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0" name="Check Box 319">
              <controlPr defaultSize="0" autoFill="0" autoLine="0" autoPict="0">
                <anchor moveWithCells="1">
                  <from>
                    <xdr:col>15</xdr:col>
                    <xdr:colOff>47625</xdr:colOff>
                    <xdr:row>29</xdr:row>
                    <xdr:rowOff>38100</xdr:rowOff>
                  </from>
                  <to>
                    <xdr:col>15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1" name="Check Box 320">
              <controlPr defaultSize="0" autoFill="0" autoLine="0" autoPict="0">
                <anchor moveWithCells="1">
                  <from>
                    <xdr:col>16</xdr:col>
                    <xdr:colOff>47625</xdr:colOff>
                    <xdr:row>29</xdr:row>
                    <xdr:rowOff>38100</xdr:rowOff>
                  </from>
                  <to>
                    <xdr:col>16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2" name="Check Box 321">
              <controlPr defaultSize="0" autoFill="0" autoLine="0" autoPict="0">
                <anchor moveWithCells="1">
                  <from>
                    <xdr:col>17</xdr:col>
                    <xdr:colOff>47625</xdr:colOff>
                    <xdr:row>29</xdr:row>
                    <xdr:rowOff>38100</xdr:rowOff>
                  </from>
                  <to>
                    <xdr:col>17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3" name="Check Box 322">
              <controlPr defaultSize="0" autoFill="0" autoLine="0" autoPict="0">
                <anchor moveWithCells="1">
                  <from>
                    <xdr:col>18</xdr:col>
                    <xdr:colOff>47625</xdr:colOff>
                    <xdr:row>29</xdr:row>
                    <xdr:rowOff>38100</xdr:rowOff>
                  </from>
                  <to>
                    <xdr:col>18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4" name="Check Box 323">
              <controlPr defaultSize="0" autoFill="0" autoLine="0" autoPict="0">
                <anchor moveWithCells="1">
                  <from>
                    <xdr:col>19</xdr:col>
                    <xdr:colOff>47625</xdr:colOff>
                    <xdr:row>29</xdr:row>
                    <xdr:rowOff>38100</xdr:rowOff>
                  </from>
                  <to>
                    <xdr:col>19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5" name="Check Box 324">
              <controlPr defaultSize="0" autoFill="0" autoLine="0" autoPict="0">
                <anchor moveWithCells="1">
                  <from>
                    <xdr:col>20</xdr:col>
                    <xdr:colOff>47625</xdr:colOff>
                    <xdr:row>29</xdr:row>
                    <xdr:rowOff>38100</xdr:rowOff>
                  </from>
                  <to>
                    <xdr:col>20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26" name="Check Box 325">
              <controlPr defaultSize="0" autoFill="0" autoLine="0" autoPict="0">
                <anchor moveWithCells="1">
                  <from>
                    <xdr:col>21</xdr:col>
                    <xdr:colOff>47625</xdr:colOff>
                    <xdr:row>29</xdr:row>
                    <xdr:rowOff>38100</xdr:rowOff>
                  </from>
                  <to>
                    <xdr:col>21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27" name="Check Box 326">
              <controlPr defaultSize="0" autoFill="0" autoLine="0" autoPict="0">
                <anchor moveWithCells="1">
                  <from>
                    <xdr:col>22</xdr:col>
                    <xdr:colOff>47625</xdr:colOff>
                    <xdr:row>29</xdr:row>
                    <xdr:rowOff>38100</xdr:rowOff>
                  </from>
                  <to>
                    <xdr:col>22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28" name="Check Box 327">
              <controlPr defaultSize="0" autoFill="0" autoLine="0" autoPict="0">
                <anchor moveWithCells="1">
                  <from>
                    <xdr:col>23</xdr:col>
                    <xdr:colOff>47625</xdr:colOff>
                    <xdr:row>29</xdr:row>
                    <xdr:rowOff>38100</xdr:rowOff>
                  </from>
                  <to>
                    <xdr:col>23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29" name="Check Box 328">
              <controlPr defaultSize="0" autoFill="0" autoLine="0" autoPict="0">
                <anchor moveWithCells="1">
                  <from>
                    <xdr:col>24</xdr:col>
                    <xdr:colOff>47625</xdr:colOff>
                    <xdr:row>29</xdr:row>
                    <xdr:rowOff>38100</xdr:rowOff>
                  </from>
                  <to>
                    <xdr:col>24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30" name="Check Box 329">
              <controlPr defaultSize="0" autoFill="0" autoLine="0" autoPict="0">
                <anchor moveWithCells="1">
                  <from>
                    <xdr:col>25</xdr:col>
                    <xdr:colOff>47625</xdr:colOff>
                    <xdr:row>29</xdr:row>
                    <xdr:rowOff>38100</xdr:rowOff>
                  </from>
                  <to>
                    <xdr:col>25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31" name="Check Box 330">
              <controlPr defaultSize="0" autoFill="0" autoLine="0" autoPict="0">
                <anchor moveWithCells="1">
                  <from>
                    <xdr:col>26</xdr:col>
                    <xdr:colOff>47625</xdr:colOff>
                    <xdr:row>29</xdr:row>
                    <xdr:rowOff>38100</xdr:rowOff>
                  </from>
                  <to>
                    <xdr:col>26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32" name="Check Box 331">
              <controlPr defaultSize="0" autoFill="0" autoLine="0" autoPict="0">
                <anchor moveWithCells="1">
                  <from>
                    <xdr:col>27</xdr:col>
                    <xdr:colOff>47625</xdr:colOff>
                    <xdr:row>29</xdr:row>
                    <xdr:rowOff>38100</xdr:rowOff>
                  </from>
                  <to>
                    <xdr:col>27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33" name="Check Box 332">
              <controlPr defaultSize="0" autoFill="0" autoLine="0" autoPict="0">
                <anchor moveWithCells="1">
                  <from>
                    <xdr:col>28</xdr:col>
                    <xdr:colOff>47625</xdr:colOff>
                    <xdr:row>29</xdr:row>
                    <xdr:rowOff>38100</xdr:rowOff>
                  </from>
                  <to>
                    <xdr:col>28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34" name="Check Box 333">
              <controlPr defaultSize="0" autoFill="0" autoLine="0" autoPict="0">
                <anchor moveWithCells="1">
                  <from>
                    <xdr:col>29</xdr:col>
                    <xdr:colOff>47625</xdr:colOff>
                    <xdr:row>29</xdr:row>
                    <xdr:rowOff>38100</xdr:rowOff>
                  </from>
                  <to>
                    <xdr:col>29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35" name="Check Box 334">
              <controlPr defaultSize="0" autoFill="0" autoLine="0" autoPict="0">
                <anchor moveWithCells="1">
                  <from>
                    <xdr:col>30</xdr:col>
                    <xdr:colOff>47625</xdr:colOff>
                    <xdr:row>29</xdr:row>
                    <xdr:rowOff>38100</xdr:rowOff>
                  </from>
                  <to>
                    <xdr:col>30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36" name="Check Box 335">
              <controlPr defaultSize="0" autoFill="0" autoLine="0" autoPict="0">
                <anchor moveWithCells="1">
                  <from>
                    <xdr:col>31</xdr:col>
                    <xdr:colOff>47625</xdr:colOff>
                    <xdr:row>29</xdr:row>
                    <xdr:rowOff>38100</xdr:rowOff>
                  </from>
                  <to>
                    <xdr:col>31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37" name="Check Box 336">
              <controlPr defaultSize="0" autoFill="0" autoLine="0" autoPict="0">
                <anchor moveWithCells="1">
                  <from>
                    <xdr:col>32</xdr:col>
                    <xdr:colOff>47625</xdr:colOff>
                    <xdr:row>29</xdr:row>
                    <xdr:rowOff>38100</xdr:rowOff>
                  </from>
                  <to>
                    <xdr:col>32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38" name="Check Box 337">
              <controlPr defaultSize="0" autoFill="0" autoLine="0" autoPict="0">
                <anchor moveWithCells="1">
                  <from>
                    <xdr:col>33</xdr:col>
                    <xdr:colOff>47625</xdr:colOff>
                    <xdr:row>29</xdr:row>
                    <xdr:rowOff>38100</xdr:rowOff>
                  </from>
                  <to>
                    <xdr:col>33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39" name="Check Box 338">
              <controlPr defaultSize="0" autoFill="0" autoLine="0" autoPict="0">
                <anchor moveWithCells="1">
                  <from>
                    <xdr:col>34</xdr:col>
                    <xdr:colOff>47625</xdr:colOff>
                    <xdr:row>29</xdr:row>
                    <xdr:rowOff>38100</xdr:rowOff>
                  </from>
                  <to>
                    <xdr:col>34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40" name="Check Box 339">
              <controlPr defaultSize="0" autoFill="0" autoLine="0" autoPict="0">
                <anchor moveWithCells="1">
                  <from>
                    <xdr:col>35</xdr:col>
                    <xdr:colOff>47625</xdr:colOff>
                    <xdr:row>29</xdr:row>
                    <xdr:rowOff>38100</xdr:rowOff>
                  </from>
                  <to>
                    <xdr:col>35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41" name="Check Box 340">
              <controlPr defaultSize="0" autoFill="0" autoLine="0" autoPict="0">
                <anchor moveWithCells="1">
                  <from>
                    <xdr:col>36</xdr:col>
                    <xdr:colOff>47625</xdr:colOff>
                    <xdr:row>29</xdr:row>
                    <xdr:rowOff>38100</xdr:rowOff>
                  </from>
                  <to>
                    <xdr:col>36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42" name="Check Box 341">
              <controlPr defaultSize="0" autoFill="0" autoLine="0" autoPict="0">
                <anchor moveWithCells="1">
                  <from>
                    <xdr:col>37</xdr:col>
                    <xdr:colOff>47625</xdr:colOff>
                    <xdr:row>29</xdr:row>
                    <xdr:rowOff>38100</xdr:rowOff>
                  </from>
                  <to>
                    <xdr:col>37</xdr:col>
                    <xdr:colOff>342900</xdr:colOff>
                    <xdr:row>29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43" name="Check Box 342">
              <controlPr defaultSize="0" autoFill="0" autoLine="0" autoPict="0">
                <anchor moveWithCells="1">
                  <from>
                    <xdr:col>7</xdr:col>
                    <xdr:colOff>47625</xdr:colOff>
                    <xdr:row>30</xdr:row>
                    <xdr:rowOff>38100</xdr:rowOff>
                  </from>
                  <to>
                    <xdr:col>7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44" name="Check Box 343">
              <controlPr defaultSize="0" autoFill="0" autoLine="0" autoPict="0">
                <anchor moveWithCells="1">
                  <from>
                    <xdr:col>8</xdr:col>
                    <xdr:colOff>47625</xdr:colOff>
                    <xdr:row>30</xdr:row>
                    <xdr:rowOff>38100</xdr:rowOff>
                  </from>
                  <to>
                    <xdr:col>8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45" name="Check Box 344">
              <controlPr defaultSize="0" autoFill="0" autoLine="0" autoPict="0">
                <anchor moveWithCells="1">
                  <from>
                    <xdr:col>9</xdr:col>
                    <xdr:colOff>47625</xdr:colOff>
                    <xdr:row>30</xdr:row>
                    <xdr:rowOff>38100</xdr:rowOff>
                  </from>
                  <to>
                    <xdr:col>9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46" name="Check Box 345">
              <controlPr defaultSize="0" autoFill="0" autoLine="0" autoPict="0">
                <anchor moveWithCells="1">
                  <from>
                    <xdr:col>10</xdr:col>
                    <xdr:colOff>47625</xdr:colOff>
                    <xdr:row>30</xdr:row>
                    <xdr:rowOff>38100</xdr:rowOff>
                  </from>
                  <to>
                    <xdr:col>10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47" name="Check Box 346">
              <controlPr defaultSize="0" autoFill="0" autoLine="0" autoPict="0">
                <anchor moveWithCells="1">
                  <from>
                    <xdr:col>11</xdr:col>
                    <xdr:colOff>47625</xdr:colOff>
                    <xdr:row>30</xdr:row>
                    <xdr:rowOff>38100</xdr:rowOff>
                  </from>
                  <to>
                    <xdr:col>11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48" name="Check Box 347">
              <controlPr defaultSize="0" autoFill="0" autoLine="0" autoPict="0">
                <anchor moveWithCells="1">
                  <from>
                    <xdr:col>12</xdr:col>
                    <xdr:colOff>47625</xdr:colOff>
                    <xdr:row>30</xdr:row>
                    <xdr:rowOff>38100</xdr:rowOff>
                  </from>
                  <to>
                    <xdr:col>12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49" name="Check Box 348">
              <controlPr defaultSize="0" autoFill="0" autoLine="0" autoPict="0">
                <anchor moveWithCells="1">
                  <from>
                    <xdr:col>13</xdr:col>
                    <xdr:colOff>47625</xdr:colOff>
                    <xdr:row>30</xdr:row>
                    <xdr:rowOff>38100</xdr:rowOff>
                  </from>
                  <to>
                    <xdr:col>13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50" name="Check Box 349">
              <controlPr defaultSize="0" autoFill="0" autoLine="0" autoPict="0">
                <anchor moveWithCells="1">
                  <from>
                    <xdr:col>14</xdr:col>
                    <xdr:colOff>47625</xdr:colOff>
                    <xdr:row>30</xdr:row>
                    <xdr:rowOff>38100</xdr:rowOff>
                  </from>
                  <to>
                    <xdr:col>14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51" name="Check Box 350">
              <controlPr defaultSize="0" autoFill="0" autoLine="0" autoPict="0">
                <anchor moveWithCells="1">
                  <from>
                    <xdr:col>15</xdr:col>
                    <xdr:colOff>47625</xdr:colOff>
                    <xdr:row>30</xdr:row>
                    <xdr:rowOff>38100</xdr:rowOff>
                  </from>
                  <to>
                    <xdr:col>15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52" name="Check Box 351">
              <controlPr defaultSize="0" autoFill="0" autoLine="0" autoPict="0">
                <anchor moveWithCells="1">
                  <from>
                    <xdr:col>16</xdr:col>
                    <xdr:colOff>47625</xdr:colOff>
                    <xdr:row>30</xdr:row>
                    <xdr:rowOff>38100</xdr:rowOff>
                  </from>
                  <to>
                    <xdr:col>16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53" name="Check Box 352">
              <controlPr defaultSize="0" autoFill="0" autoLine="0" autoPict="0">
                <anchor moveWithCells="1">
                  <from>
                    <xdr:col>17</xdr:col>
                    <xdr:colOff>47625</xdr:colOff>
                    <xdr:row>30</xdr:row>
                    <xdr:rowOff>38100</xdr:rowOff>
                  </from>
                  <to>
                    <xdr:col>17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54" name="Check Box 353">
              <controlPr defaultSize="0" autoFill="0" autoLine="0" autoPict="0">
                <anchor moveWithCells="1">
                  <from>
                    <xdr:col>18</xdr:col>
                    <xdr:colOff>47625</xdr:colOff>
                    <xdr:row>30</xdr:row>
                    <xdr:rowOff>38100</xdr:rowOff>
                  </from>
                  <to>
                    <xdr:col>18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55" name="Check Box 354">
              <controlPr defaultSize="0" autoFill="0" autoLine="0" autoPict="0">
                <anchor moveWithCells="1">
                  <from>
                    <xdr:col>19</xdr:col>
                    <xdr:colOff>47625</xdr:colOff>
                    <xdr:row>30</xdr:row>
                    <xdr:rowOff>38100</xdr:rowOff>
                  </from>
                  <to>
                    <xdr:col>19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56" name="Check Box 355">
              <controlPr defaultSize="0" autoFill="0" autoLine="0" autoPict="0">
                <anchor moveWithCells="1">
                  <from>
                    <xdr:col>20</xdr:col>
                    <xdr:colOff>47625</xdr:colOff>
                    <xdr:row>30</xdr:row>
                    <xdr:rowOff>38100</xdr:rowOff>
                  </from>
                  <to>
                    <xdr:col>20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57" name="Check Box 356">
              <controlPr defaultSize="0" autoFill="0" autoLine="0" autoPict="0">
                <anchor moveWithCells="1">
                  <from>
                    <xdr:col>21</xdr:col>
                    <xdr:colOff>47625</xdr:colOff>
                    <xdr:row>30</xdr:row>
                    <xdr:rowOff>38100</xdr:rowOff>
                  </from>
                  <to>
                    <xdr:col>21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58" name="Check Box 357">
              <controlPr defaultSize="0" autoFill="0" autoLine="0" autoPict="0">
                <anchor moveWithCells="1">
                  <from>
                    <xdr:col>22</xdr:col>
                    <xdr:colOff>47625</xdr:colOff>
                    <xdr:row>30</xdr:row>
                    <xdr:rowOff>38100</xdr:rowOff>
                  </from>
                  <to>
                    <xdr:col>22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59" name="Check Box 358">
              <controlPr defaultSize="0" autoFill="0" autoLine="0" autoPict="0">
                <anchor moveWithCells="1">
                  <from>
                    <xdr:col>23</xdr:col>
                    <xdr:colOff>47625</xdr:colOff>
                    <xdr:row>30</xdr:row>
                    <xdr:rowOff>38100</xdr:rowOff>
                  </from>
                  <to>
                    <xdr:col>23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60" name="Check Box 359">
              <controlPr defaultSize="0" autoFill="0" autoLine="0" autoPict="0">
                <anchor moveWithCells="1">
                  <from>
                    <xdr:col>24</xdr:col>
                    <xdr:colOff>47625</xdr:colOff>
                    <xdr:row>30</xdr:row>
                    <xdr:rowOff>38100</xdr:rowOff>
                  </from>
                  <to>
                    <xdr:col>24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61" name="Check Box 360">
              <controlPr defaultSize="0" autoFill="0" autoLine="0" autoPict="0">
                <anchor moveWithCells="1">
                  <from>
                    <xdr:col>25</xdr:col>
                    <xdr:colOff>47625</xdr:colOff>
                    <xdr:row>30</xdr:row>
                    <xdr:rowOff>38100</xdr:rowOff>
                  </from>
                  <to>
                    <xdr:col>25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62" name="Check Box 361">
              <controlPr defaultSize="0" autoFill="0" autoLine="0" autoPict="0">
                <anchor moveWithCells="1">
                  <from>
                    <xdr:col>26</xdr:col>
                    <xdr:colOff>47625</xdr:colOff>
                    <xdr:row>30</xdr:row>
                    <xdr:rowOff>38100</xdr:rowOff>
                  </from>
                  <to>
                    <xdr:col>26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63" name="Check Box 362">
              <controlPr defaultSize="0" autoFill="0" autoLine="0" autoPict="0">
                <anchor moveWithCells="1">
                  <from>
                    <xdr:col>27</xdr:col>
                    <xdr:colOff>47625</xdr:colOff>
                    <xdr:row>30</xdr:row>
                    <xdr:rowOff>38100</xdr:rowOff>
                  </from>
                  <to>
                    <xdr:col>27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64" name="Check Box 363">
              <controlPr defaultSize="0" autoFill="0" autoLine="0" autoPict="0">
                <anchor moveWithCells="1">
                  <from>
                    <xdr:col>28</xdr:col>
                    <xdr:colOff>47625</xdr:colOff>
                    <xdr:row>30</xdr:row>
                    <xdr:rowOff>38100</xdr:rowOff>
                  </from>
                  <to>
                    <xdr:col>28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65" name="Check Box 364">
              <controlPr defaultSize="0" autoFill="0" autoLine="0" autoPict="0">
                <anchor moveWithCells="1">
                  <from>
                    <xdr:col>29</xdr:col>
                    <xdr:colOff>47625</xdr:colOff>
                    <xdr:row>30</xdr:row>
                    <xdr:rowOff>38100</xdr:rowOff>
                  </from>
                  <to>
                    <xdr:col>29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66" name="Check Box 365">
              <controlPr defaultSize="0" autoFill="0" autoLine="0" autoPict="0">
                <anchor moveWithCells="1">
                  <from>
                    <xdr:col>30</xdr:col>
                    <xdr:colOff>47625</xdr:colOff>
                    <xdr:row>30</xdr:row>
                    <xdr:rowOff>38100</xdr:rowOff>
                  </from>
                  <to>
                    <xdr:col>30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67" name="Check Box 366">
              <controlPr defaultSize="0" autoFill="0" autoLine="0" autoPict="0">
                <anchor moveWithCells="1">
                  <from>
                    <xdr:col>31</xdr:col>
                    <xdr:colOff>47625</xdr:colOff>
                    <xdr:row>30</xdr:row>
                    <xdr:rowOff>38100</xdr:rowOff>
                  </from>
                  <to>
                    <xdr:col>31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68" name="Check Box 367">
              <controlPr defaultSize="0" autoFill="0" autoLine="0" autoPict="0">
                <anchor moveWithCells="1">
                  <from>
                    <xdr:col>32</xdr:col>
                    <xdr:colOff>47625</xdr:colOff>
                    <xdr:row>30</xdr:row>
                    <xdr:rowOff>38100</xdr:rowOff>
                  </from>
                  <to>
                    <xdr:col>32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69" name="Check Box 368">
              <controlPr defaultSize="0" autoFill="0" autoLine="0" autoPict="0">
                <anchor moveWithCells="1">
                  <from>
                    <xdr:col>33</xdr:col>
                    <xdr:colOff>47625</xdr:colOff>
                    <xdr:row>30</xdr:row>
                    <xdr:rowOff>38100</xdr:rowOff>
                  </from>
                  <to>
                    <xdr:col>33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70" name="Check Box 369">
              <controlPr defaultSize="0" autoFill="0" autoLine="0" autoPict="0">
                <anchor moveWithCells="1">
                  <from>
                    <xdr:col>34</xdr:col>
                    <xdr:colOff>47625</xdr:colOff>
                    <xdr:row>30</xdr:row>
                    <xdr:rowOff>38100</xdr:rowOff>
                  </from>
                  <to>
                    <xdr:col>34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71" name="Check Box 370">
              <controlPr defaultSize="0" autoFill="0" autoLine="0" autoPict="0">
                <anchor moveWithCells="1">
                  <from>
                    <xdr:col>35</xdr:col>
                    <xdr:colOff>47625</xdr:colOff>
                    <xdr:row>30</xdr:row>
                    <xdr:rowOff>38100</xdr:rowOff>
                  </from>
                  <to>
                    <xdr:col>35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72" name="Check Box 371">
              <controlPr defaultSize="0" autoFill="0" autoLine="0" autoPict="0">
                <anchor moveWithCells="1">
                  <from>
                    <xdr:col>36</xdr:col>
                    <xdr:colOff>47625</xdr:colOff>
                    <xdr:row>30</xdr:row>
                    <xdr:rowOff>38100</xdr:rowOff>
                  </from>
                  <to>
                    <xdr:col>36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73" name="Check Box 372">
              <controlPr defaultSize="0" autoFill="0" autoLine="0" autoPict="0">
                <anchor moveWithCells="1">
                  <from>
                    <xdr:col>37</xdr:col>
                    <xdr:colOff>47625</xdr:colOff>
                    <xdr:row>30</xdr:row>
                    <xdr:rowOff>38100</xdr:rowOff>
                  </from>
                  <to>
                    <xdr:col>37</xdr:col>
                    <xdr:colOff>342900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74" name="Check Box 373">
              <controlPr defaultSize="0" autoFill="0" autoLine="0" autoPict="0">
                <anchor moveWithCells="1">
                  <from>
                    <xdr:col>7</xdr:col>
                    <xdr:colOff>47625</xdr:colOff>
                    <xdr:row>31</xdr:row>
                    <xdr:rowOff>38100</xdr:rowOff>
                  </from>
                  <to>
                    <xdr:col>7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75" name="Check Box 374">
              <controlPr defaultSize="0" autoFill="0" autoLine="0" autoPict="0">
                <anchor moveWithCells="1">
                  <from>
                    <xdr:col>8</xdr:col>
                    <xdr:colOff>47625</xdr:colOff>
                    <xdr:row>31</xdr:row>
                    <xdr:rowOff>38100</xdr:rowOff>
                  </from>
                  <to>
                    <xdr:col>8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76" name="Check Box 375">
              <controlPr defaultSize="0" autoFill="0" autoLine="0" autoPict="0">
                <anchor moveWithCells="1">
                  <from>
                    <xdr:col>9</xdr:col>
                    <xdr:colOff>47625</xdr:colOff>
                    <xdr:row>31</xdr:row>
                    <xdr:rowOff>38100</xdr:rowOff>
                  </from>
                  <to>
                    <xdr:col>9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77" name="Check Box 376">
              <controlPr defaultSize="0" autoFill="0" autoLine="0" autoPict="0">
                <anchor moveWithCells="1">
                  <from>
                    <xdr:col>10</xdr:col>
                    <xdr:colOff>47625</xdr:colOff>
                    <xdr:row>31</xdr:row>
                    <xdr:rowOff>38100</xdr:rowOff>
                  </from>
                  <to>
                    <xdr:col>10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78" name="Check Box 377">
              <controlPr defaultSize="0" autoFill="0" autoLine="0" autoPict="0">
                <anchor moveWithCells="1">
                  <from>
                    <xdr:col>11</xdr:col>
                    <xdr:colOff>47625</xdr:colOff>
                    <xdr:row>31</xdr:row>
                    <xdr:rowOff>38100</xdr:rowOff>
                  </from>
                  <to>
                    <xdr:col>11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79" name="Check Box 378">
              <controlPr defaultSize="0" autoFill="0" autoLine="0" autoPict="0">
                <anchor moveWithCells="1">
                  <from>
                    <xdr:col>12</xdr:col>
                    <xdr:colOff>47625</xdr:colOff>
                    <xdr:row>31</xdr:row>
                    <xdr:rowOff>38100</xdr:rowOff>
                  </from>
                  <to>
                    <xdr:col>12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0" name="Check Box 379">
              <controlPr defaultSize="0" autoFill="0" autoLine="0" autoPict="0">
                <anchor moveWithCells="1">
                  <from>
                    <xdr:col>13</xdr:col>
                    <xdr:colOff>47625</xdr:colOff>
                    <xdr:row>31</xdr:row>
                    <xdr:rowOff>38100</xdr:rowOff>
                  </from>
                  <to>
                    <xdr:col>13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81" name="Check Box 380">
              <controlPr defaultSize="0" autoFill="0" autoLine="0" autoPict="0">
                <anchor moveWithCells="1">
                  <from>
                    <xdr:col>14</xdr:col>
                    <xdr:colOff>47625</xdr:colOff>
                    <xdr:row>31</xdr:row>
                    <xdr:rowOff>38100</xdr:rowOff>
                  </from>
                  <to>
                    <xdr:col>14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82" name="Check Box 381">
              <controlPr defaultSize="0" autoFill="0" autoLine="0" autoPict="0">
                <anchor moveWithCells="1">
                  <from>
                    <xdr:col>15</xdr:col>
                    <xdr:colOff>47625</xdr:colOff>
                    <xdr:row>31</xdr:row>
                    <xdr:rowOff>38100</xdr:rowOff>
                  </from>
                  <to>
                    <xdr:col>15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83" name="Check Box 382">
              <controlPr defaultSize="0" autoFill="0" autoLine="0" autoPict="0">
                <anchor moveWithCells="1">
                  <from>
                    <xdr:col>16</xdr:col>
                    <xdr:colOff>47625</xdr:colOff>
                    <xdr:row>31</xdr:row>
                    <xdr:rowOff>38100</xdr:rowOff>
                  </from>
                  <to>
                    <xdr:col>16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84" name="Check Box 383">
              <controlPr defaultSize="0" autoFill="0" autoLine="0" autoPict="0">
                <anchor moveWithCells="1">
                  <from>
                    <xdr:col>17</xdr:col>
                    <xdr:colOff>47625</xdr:colOff>
                    <xdr:row>31</xdr:row>
                    <xdr:rowOff>38100</xdr:rowOff>
                  </from>
                  <to>
                    <xdr:col>17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85" name="Check Box 384">
              <controlPr defaultSize="0" autoFill="0" autoLine="0" autoPict="0">
                <anchor moveWithCells="1">
                  <from>
                    <xdr:col>18</xdr:col>
                    <xdr:colOff>47625</xdr:colOff>
                    <xdr:row>31</xdr:row>
                    <xdr:rowOff>38100</xdr:rowOff>
                  </from>
                  <to>
                    <xdr:col>18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86" name="Check Box 385">
              <controlPr defaultSize="0" autoFill="0" autoLine="0" autoPict="0">
                <anchor moveWithCells="1">
                  <from>
                    <xdr:col>19</xdr:col>
                    <xdr:colOff>47625</xdr:colOff>
                    <xdr:row>31</xdr:row>
                    <xdr:rowOff>38100</xdr:rowOff>
                  </from>
                  <to>
                    <xdr:col>19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87" name="Check Box 386">
              <controlPr defaultSize="0" autoFill="0" autoLine="0" autoPict="0">
                <anchor moveWithCells="1">
                  <from>
                    <xdr:col>20</xdr:col>
                    <xdr:colOff>47625</xdr:colOff>
                    <xdr:row>31</xdr:row>
                    <xdr:rowOff>38100</xdr:rowOff>
                  </from>
                  <to>
                    <xdr:col>20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88" name="Check Box 387">
              <controlPr defaultSize="0" autoFill="0" autoLine="0" autoPict="0">
                <anchor moveWithCells="1">
                  <from>
                    <xdr:col>21</xdr:col>
                    <xdr:colOff>47625</xdr:colOff>
                    <xdr:row>31</xdr:row>
                    <xdr:rowOff>38100</xdr:rowOff>
                  </from>
                  <to>
                    <xdr:col>21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89" name="Check Box 388">
              <controlPr defaultSize="0" autoFill="0" autoLine="0" autoPict="0">
                <anchor moveWithCells="1">
                  <from>
                    <xdr:col>22</xdr:col>
                    <xdr:colOff>47625</xdr:colOff>
                    <xdr:row>31</xdr:row>
                    <xdr:rowOff>38100</xdr:rowOff>
                  </from>
                  <to>
                    <xdr:col>22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90" name="Check Box 389">
              <controlPr defaultSize="0" autoFill="0" autoLine="0" autoPict="0">
                <anchor moveWithCells="1">
                  <from>
                    <xdr:col>23</xdr:col>
                    <xdr:colOff>47625</xdr:colOff>
                    <xdr:row>31</xdr:row>
                    <xdr:rowOff>38100</xdr:rowOff>
                  </from>
                  <to>
                    <xdr:col>23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91" name="Check Box 390">
              <controlPr defaultSize="0" autoFill="0" autoLine="0" autoPict="0">
                <anchor moveWithCells="1">
                  <from>
                    <xdr:col>24</xdr:col>
                    <xdr:colOff>47625</xdr:colOff>
                    <xdr:row>31</xdr:row>
                    <xdr:rowOff>38100</xdr:rowOff>
                  </from>
                  <to>
                    <xdr:col>24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92" name="Check Box 391">
              <controlPr defaultSize="0" autoFill="0" autoLine="0" autoPict="0">
                <anchor moveWithCells="1">
                  <from>
                    <xdr:col>25</xdr:col>
                    <xdr:colOff>47625</xdr:colOff>
                    <xdr:row>31</xdr:row>
                    <xdr:rowOff>38100</xdr:rowOff>
                  </from>
                  <to>
                    <xdr:col>25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93" name="Check Box 392">
              <controlPr defaultSize="0" autoFill="0" autoLine="0" autoPict="0">
                <anchor moveWithCells="1">
                  <from>
                    <xdr:col>26</xdr:col>
                    <xdr:colOff>47625</xdr:colOff>
                    <xdr:row>31</xdr:row>
                    <xdr:rowOff>38100</xdr:rowOff>
                  </from>
                  <to>
                    <xdr:col>26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94" name="Check Box 393">
              <controlPr defaultSize="0" autoFill="0" autoLine="0" autoPict="0">
                <anchor moveWithCells="1">
                  <from>
                    <xdr:col>27</xdr:col>
                    <xdr:colOff>47625</xdr:colOff>
                    <xdr:row>31</xdr:row>
                    <xdr:rowOff>38100</xdr:rowOff>
                  </from>
                  <to>
                    <xdr:col>27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95" name="Check Box 394">
              <controlPr defaultSize="0" autoFill="0" autoLine="0" autoPict="0">
                <anchor moveWithCells="1">
                  <from>
                    <xdr:col>28</xdr:col>
                    <xdr:colOff>47625</xdr:colOff>
                    <xdr:row>31</xdr:row>
                    <xdr:rowOff>38100</xdr:rowOff>
                  </from>
                  <to>
                    <xdr:col>28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96" name="Check Box 395">
              <controlPr defaultSize="0" autoFill="0" autoLine="0" autoPict="0">
                <anchor moveWithCells="1">
                  <from>
                    <xdr:col>29</xdr:col>
                    <xdr:colOff>47625</xdr:colOff>
                    <xdr:row>31</xdr:row>
                    <xdr:rowOff>38100</xdr:rowOff>
                  </from>
                  <to>
                    <xdr:col>29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97" name="Check Box 396">
              <controlPr defaultSize="0" autoFill="0" autoLine="0" autoPict="0">
                <anchor moveWithCells="1">
                  <from>
                    <xdr:col>30</xdr:col>
                    <xdr:colOff>47625</xdr:colOff>
                    <xdr:row>31</xdr:row>
                    <xdr:rowOff>38100</xdr:rowOff>
                  </from>
                  <to>
                    <xdr:col>30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98" name="Check Box 397">
              <controlPr defaultSize="0" autoFill="0" autoLine="0" autoPict="0">
                <anchor moveWithCells="1">
                  <from>
                    <xdr:col>31</xdr:col>
                    <xdr:colOff>47625</xdr:colOff>
                    <xdr:row>31</xdr:row>
                    <xdr:rowOff>38100</xdr:rowOff>
                  </from>
                  <to>
                    <xdr:col>31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99" name="Check Box 398">
              <controlPr defaultSize="0" autoFill="0" autoLine="0" autoPict="0">
                <anchor moveWithCells="1">
                  <from>
                    <xdr:col>32</xdr:col>
                    <xdr:colOff>47625</xdr:colOff>
                    <xdr:row>31</xdr:row>
                    <xdr:rowOff>38100</xdr:rowOff>
                  </from>
                  <to>
                    <xdr:col>32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00" name="Check Box 399">
              <controlPr defaultSize="0" autoFill="0" autoLine="0" autoPict="0">
                <anchor moveWithCells="1">
                  <from>
                    <xdr:col>33</xdr:col>
                    <xdr:colOff>47625</xdr:colOff>
                    <xdr:row>31</xdr:row>
                    <xdr:rowOff>38100</xdr:rowOff>
                  </from>
                  <to>
                    <xdr:col>33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01" name="Check Box 400">
              <controlPr defaultSize="0" autoFill="0" autoLine="0" autoPict="0">
                <anchor moveWithCells="1">
                  <from>
                    <xdr:col>34</xdr:col>
                    <xdr:colOff>47625</xdr:colOff>
                    <xdr:row>31</xdr:row>
                    <xdr:rowOff>38100</xdr:rowOff>
                  </from>
                  <to>
                    <xdr:col>34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02" name="Check Box 401">
              <controlPr defaultSize="0" autoFill="0" autoLine="0" autoPict="0">
                <anchor moveWithCells="1">
                  <from>
                    <xdr:col>35</xdr:col>
                    <xdr:colOff>47625</xdr:colOff>
                    <xdr:row>31</xdr:row>
                    <xdr:rowOff>38100</xdr:rowOff>
                  </from>
                  <to>
                    <xdr:col>35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03" name="Check Box 402">
              <controlPr defaultSize="0" autoFill="0" autoLine="0" autoPict="0">
                <anchor moveWithCells="1">
                  <from>
                    <xdr:col>36</xdr:col>
                    <xdr:colOff>47625</xdr:colOff>
                    <xdr:row>31</xdr:row>
                    <xdr:rowOff>38100</xdr:rowOff>
                  </from>
                  <to>
                    <xdr:col>36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04" name="Check Box 403">
              <controlPr defaultSize="0" autoFill="0" autoLine="0" autoPict="0">
                <anchor moveWithCells="1">
                  <from>
                    <xdr:col>37</xdr:col>
                    <xdr:colOff>47625</xdr:colOff>
                    <xdr:row>31</xdr:row>
                    <xdr:rowOff>38100</xdr:rowOff>
                  </from>
                  <to>
                    <xdr:col>37</xdr:col>
                    <xdr:colOff>342900</xdr:colOff>
                    <xdr:row>31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05" name="Check Box 404">
              <controlPr defaultSize="0" autoFill="0" autoLine="0" autoPict="0">
                <anchor moveWithCells="1">
                  <from>
                    <xdr:col>7</xdr:col>
                    <xdr:colOff>47625</xdr:colOff>
                    <xdr:row>32</xdr:row>
                    <xdr:rowOff>38100</xdr:rowOff>
                  </from>
                  <to>
                    <xdr:col>7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06" name="Check Box 405">
              <controlPr defaultSize="0" autoFill="0" autoLine="0" autoPict="0">
                <anchor moveWithCells="1">
                  <from>
                    <xdr:col>8</xdr:col>
                    <xdr:colOff>47625</xdr:colOff>
                    <xdr:row>32</xdr:row>
                    <xdr:rowOff>38100</xdr:rowOff>
                  </from>
                  <to>
                    <xdr:col>8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07" name="Check Box 406">
              <controlPr defaultSize="0" autoFill="0" autoLine="0" autoPict="0">
                <anchor moveWithCells="1">
                  <from>
                    <xdr:col>9</xdr:col>
                    <xdr:colOff>47625</xdr:colOff>
                    <xdr:row>32</xdr:row>
                    <xdr:rowOff>38100</xdr:rowOff>
                  </from>
                  <to>
                    <xdr:col>9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08" name="Check Box 407">
              <controlPr defaultSize="0" autoFill="0" autoLine="0" autoPict="0">
                <anchor moveWithCells="1">
                  <from>
                    <xdr:col>10</xdr:col>
                    <xdr:colOff>47625</xdr:colOff>
                    <xdr:row>32</xdr:row>
                    <xdr:rowOff>38100</xdr:rowOff>
                  </from>
                  <to>
                    <xdr:col>10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09" name="Check Box 408">
              <controlPr defaultSize="0" autoFill="0" autoLine="0" autoPict="0">
                <anchor moveWithCells="1">
                  <from>
                    <xdr:col>11</xdr:col>
                    <xdr:colOff>47625</xdr:colOff>
                    <xdr:row>32</xdr:row>
                    <xdr:rowOff>38100</xdr:rowOff>
                  </from>
                  <to>
                    <xdr:col>11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10" name="Check Box 409">
              <controlPr defaultSize="0" autoFill="0" autoLine="0" autoPict="0">
                <anchor moveWithCells="1">
                  <from>
                    <xdr:col>12</xdr:col>
                    <xdr:colOff>47625</xdr:colOff>
                    <xdr:row>32</xdr:row>
                    <xdr:rowOff>38100</xdr:rowOff>
                  </from>
                  <to>
                    <xdr:col>12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11" name="Check Box 410">
              <controlPr defaultSize="0" autoFill="0" autoLine="0" autoPict="0">
                <anchor moveWithCells="1">
                  <from>
                    <xdr:col>13</xdr:col>
                    <xdr:colOff>47625</xdr:colOff>
                    <xdr:row>32</xdr:row>
                    <xdr:rowOff>38100</xdr:rowOff>
                  </from>
                  <to>
                    <xdr:col>13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12" name="Check Box 411">
              <controlPr defaultSize="0" autoFill="0" autoLine="0" autoPict="0">
                <anchor moveWithCells="1">
                  <from>
                    <xdr:col>14</xdr:col>
                    <xdr:colOff>47625</xdr:colOff>
                    <xdr:row>32</xdr:row>
                    <xdr:rowOff>38100</xdr:rowOff>
                  </from>
                  <to>
                    <xdr:col>14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13" name="Check Box 412">
              <controlPr defaultSize="0" autoFill="0" autoLine="0" autoPict="0">
                <anchor moveWithCells="1">
                  <from>
                    <xdr:col>15</xdr:col>
                    <xdr:colOff>47625</xdr:colOff>
                    <xdr:row>32</xdr:row>
                    <xdr:rowOff>38100</xdr:rowOff>
                  </from>
                  <to>
                    <xdr:col>15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4" name="Check Box 413">
              <controlPr defaultSize="0" autoFill="0" autoLine="0" autoPict="0">
                <anchor moveWithCells="1">
                  <from>
                    <xdr:col>16</xdr:col>
                    <xdr:colOff>47625</xdr:colOff>
                    <xdr:row>32</xdr:row>
                    <xdr:rowOff>38100</xdr:rowOff>
                  </from>
                  <to>
                    <xdr:col>16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15" name="Check Box 414">
              <controlPr defaultSize="0" autoFill="0" autoLine="0" autoPict="0">
                <anchor moveWithCells="1">
                  <from>
                    <xdr:col>17</xdr:col>
                    <xdr:colOff>47625</xdr:colOff>
                    <xdr:row>32</xdr:row>
                    <xdr:rowOff>38100</xdr:rowOff>
                  </from>
                  <to>
                    <xdr:col>17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16" name="Check Box 415">
              <controlPr defaultSize="0" autoFill="0" autoLine="0" autoPict="0">
                <anchor moveWithCells="1">
                  <from>
                    <xdr:col>18</xdr:col>
                    <xdr:colOff>47625</xdr:colOff>
                    <xdr:row>32</xdr:row>
                    <xdr:rowOff>38100</xdr:rowOff>
                  </from>
                  <to>
                    <xdr:col>18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17" name="Check Box 416">
              <controlPr defaultSize="0" autoFill="0" autoLine="0" autoPict="0">
                <anchor moveWithCells="1">
                  <from>
                    <xdr:col>19</xdr:col>
                    <xdr:colOff>47625</xdr:colOff>
                    <xdr:row>32</xdr:row>
                    <xdr:rowOff>38100</xdr:rowOff>
                  </from>
                  <to>
                    <xdr:col>19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18" name="Check Box 417">
              <controlPr defaultSize="0" autoFill="0" autoLine="0" autoPict="0">
                <anchor moveWithCells="1">
                  <from>
                    <xdr:col>20</xdr:col>
                    <xdr:colOff>47625</xdr:colOff>
                    <xdr:row>32</xdr:row>
                    <xdr:rowOff>38100</xdr:rowOff>
                  </from>
                  <to>
                    <xdr:col>20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19" name="Check Box 418">
              <controlPr defaultSize="0" autoFill="0" autoLine="0" autoPict="0">
                <anchor moveWithCells="1">
                  <from>
                    <xdr:col>21</xdr:col>
                    <xdr:colOff>47625</xdr:colOff>
                    <xdr:row>32</xdr:row>
                    <xdr:rowOff>38100</xdr:rowOff>
                  </from>
                  <to>
                    <xdr:col>21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20" name="Check Box 419">
              <controlPr defaultSize="0" autoFill="0" autoLine="0" autoPict="0">
                <anchor moveWithCells="1">
                  <from>
                    <xdr:col>22</xdr:col>
                    <xdr:colOff>47625</xdr:colOff>
                    <xdr:row>32</xdr:row>
                    <xdr:rowOff>38100</xdr:rowOff>
                  </from>
                  <to>
                    <xdr:col>22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21" name="Check Box 420">
              <controlPr defaultSize="0" autoFill="0" autoLine="0" autoPict="0">
                <anchor moveWithCells="1">
                  <from>
                    <xdr:col>23</xdr:col>
                    <xdr:colOff>47625</xdr:colOff>
                    <xdr:row>32</xdr:row>
                    <xdr:rowOff>38100</xdr:rowOff>
                  </from>
                  <to>
                    <xdr:col>23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22" name="Check Box 421">
              <controlPr defaultSize="0" autoFill="0" autoLine="0" autoPict="0">
                <anchor moveWithCells="1">
                  <from>
                    <xdr:col>24</xdr:col>
                    <xdr:colOff>47625</xdr:colOff>
                    <xdr:row>32</xdr:row>
                    <xdr:rowOff>38100</xdr:rowOff>
                  </from>
                  <to>
                    <xdr:col>24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23" name="Check Box 422">
              <controlPr defaultSize="0" autoFill="0" autoLine="0" autoPict="0">
                <anchor moveWithCells="1">
                  <from>
                    <xdr:col>25</xdr:col>
                    <xdr:colOff>47625</xdr:colOff>
                    <xdr:row>32</xdr:row>
                    <xdr:rowOff>38100</xdr:rowOff>
                  </from>
                  <to>
                    <xdr:col>25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24" name="Check Box 423">
              <controlPr defaultSize="0" autoFill="0" autoLine="0" autoPict="0">
                <anchor moveWithCells="1">
                  <from>
                    <xdr:col>26</xdr:col>
                    <xdr:colOff>47625</xdr:colOff>
                    <xdr:row>32</xdr:row>
                    <xdr:rowOff>38100</xdr:rowOff>
                  </from>
                  <to>
                    <xdr:col>26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25" name="Check Box 424">
              <controlPr defaultSize="0" autoFill="0" autoLine="0" autoPict="0">
                <anchor moveWithCells="1">
                  <from>
                    <xdr:col>27</xdr:col>
                    <xdr:colOff>47625</xdr:colOff>
                    <xdr:row>32</xdr:row>
                    <xdr:rowOff>38100</xdr:rowOff>
                  </from>
                  <to>
                    <xdr:col>27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26" name="Check Box 425">
              <controlPr defaultSize="0" autoFill="0" autoLine="0" autoPict="0">
                <anchor moveWithCells="1">
                  <from>
                    <xdr:col>28</xdr:col>
                    <xdr:colOff>47625</xdr:colOff>
                    <xdr:row>32</xdr:row>
                    <xdr:rowOff>38100</xdr:rowOff>
                  </from>
                  <to>
                    <xdr:col>28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27" name="Check Box 426">
              <controlPr defaultSize="0" autoFill="0" autoLine="0" autoPict="0">
                <anchor moveWithCells="1">
                  <from>
                    <xdr:col>29</xdr:col>
                    <xdr:colOff>47625</xdr:colOff>
                    <xdr:row>32</xdr:row>
                    <xdr:rowOff>38100</xdr:rowOff>
                  </from>
                  <to>
                    <xdr:col>29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28" name="Check Box 427">
              <controlPr defaultSize="0" autoFill="0" autoLine="0" autoPict="0">
                <anchor moveWithCells="1">
                  <from>
                    <xdr:col>30</xdr:col>
                    <xdr:colOff>47625</xdr:colOff>
                    <xdr:row>32</xdr:row>
                    <xdr:rowOff>38100</xdr:rowOff>
                  </from>
                  <to>
                    <xdr:col>30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29" name="Check Box 428">
              <controlPr defaultSize="0" autoFill="0" autoLine="0" autoPict="0">
                <anchor moveWithCells="1">
                  <from>
                    <xdr:col>31</xdr:col>
                    <xdr:colOff>47625</xdr:colOff>
                    <xdr:row>32</xdr:row>
                    <xdr:rowOff>38100</xdr:rowOff>
                  </from>
                  <to>
                    <xdr:col>31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30" name="Check Box 429">
              <controlPr defaultSize="0" autoFill="0" autoLine="0" autoPict="0">
                <anchor moveWithCells="1">
                  <from>
                    <xdr:col>32</xdr:col>
                    <xdr:colOff>47625</xdr:colOff>
                    <xdr:row>32</xdr:row>
                    <xdr:rowOff>38100</xdr:rowOff>
                  </from>
                  <to>
                    <xdr:col>32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31" name="Check Box 430">
              <controlPr defaultSize="0" autoFill="0" autoLine="0" autoPict="0">
                <anchor moveWithCells="1">
                  <from>
                    <xdr:col>33</xdr:col>
                    <xdr:colOff>47625</xdr:colOff>
                    <xdr:row>32</xdr:row>
                    <xdr:rowOff>38100</xdr:rowOff>
                  </from>
                  <to>
                    <xdr:col>33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32" name="Check Box 431">
              <controlPr defaultSize="0" autoFill="0" autoLine="0" autoPict="0">
                <anchor moveWithCells="1">
                  <from>
                    <xdr:col>34</xdr:col>
                    <xdr:colOff>47625</xdr:colOff>
                    <xdr:row>32</xdr:row>
                    <xdr:rowOff>38100</xdr:rowOff>
                  </from>
                  <to>
                    <xdr:col>34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33" name="Check Box 432">
              <controlPr defaultSize="0" autoFill="0" autoLine="0" autoPict="0">
                <anchor moveWithCells="1">
                  <from>
                    <xdr:col>35</xdr:col>
                    <xdr:colOff>47625</xdr:colOff>
                    <xdr:row>32</xdr:row>
                    <xdr:rowOff>38100</xdr:rowOff>
                  </from>
                  <to>
                    <xdr:col>35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34" name="Check Box 433">
              <controlPr defaultSize="0" autoFill="0" autoLine="0" autoPict="0">
                <anchor moveWithCells="1">
                  <from>
                    <xdr:col>36</xdr:col>
                    <xdr:colOff>47625</xdr:colOff>
                    <xdr:row>32</xdr:row>
                    <xdr:rowOff>38100</xdr:rowOff>
                  </from>
                  <to>
                    <xdr:col>36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35" name="Check Box 434">
              <controlPr defaultSize="0" autoFill="0" autoLine="0" autoPict="0">
                <anchor moveWithCells="1">
                  <from>
                    <xdr:col>37</xdr:col>
                    <xdr:colOff>47625</xdr:colOff>
                    <xdr:row>32</xdr:row>
                    <xdr:rowOff>38100</xdr:rowOff>
                  </from>
                  <to>
                    <xdr:col>37</xdr:col>
                    <xdr:colOff>342900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36" name="Check Box 435">
              <controlPr defaultSize="0" autoFill="0" autoLine="0" autoPict="0">
                <anchor moveWithCells="1">
                  <from>
                    <xdr:col>7</xdr:col>
                    <xdr:colOff>47625</xdr:colOff>
                    <xdr:row>33</xdr:row>
                    <xdr:rowOff>38100</xdr:rowOff>
                  </from>
                  <to>
                    <xdr:col>7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37" name="Check Box 436">
              <controlPr defaultSize="0" autoFill="0" autoLine="0" autoPict="0">
                <anchor moveWithCells="1">
                  <from>
                    <xdr:col>8</xdr:col>
                    <xdr:colOff>47625</xdr:colOff>
                    <xdr:row>33</xdr:row>
                    <xdr:rowOff>38100</xdr:rowOff>
                  </from>
                  <to>
                    <xdr:col>8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38" name="Check Box 437">
              <controlPr defaultSize="0" autoFill="0" autoLine="0" autoPict="0">
                <anchor moveWithCells="1">
                  <from>
                    <xdr:col>9</xdr:col>
                    <xdr:colOff>47625</xdr:colOff>
                    <xdr:row>33</xdr:row>
                    <xdr:rowOff>38100</xdr:rowOff>
                  </from>
                  <to>
                    <xdr:col>9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39" name="Check Box 438">
              <controlPr defaultSize="0" autoFill="0" autoLine="0" autoPict="0">
                <anchor moveWithCells="1">
                  <from>
                    <xdr:col>10</xdr:col>
                    <xdr:colOff>47625</xdr:colOff>
                    <xdr:row>33</xdr:row>
                    <xdr:rowOff>38100</xdr:rowOff>
                  </from>
                  <to>
                    <xdr:col>10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40" name="Check Box 439">
              <controlPr defaultSize="0" autoFill="0" autoLine="0" autoPict="0">
                <anchor moveWithCells="1">
                  <from>
                    <xdr:col>11</xdr:col>
                    <xdr:colOff>47625</xdr:colOff>
                    <xdr:row>33</xdr:row>
                    <xdr:rowOff>38100</xdr:rowOff>
                  </from>
                  <to>
                    <xdr:col>11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41" name="Check Box 440">
              <controlPr defaultSize="0" autoFill="0" autoLine="0" autoPict="0">
                <anchor moveWithCells="1">
                  <from>
                    <xdr:col>12</xdr:col>
                    <xdr:colOff>47625</xdr:colOff>
                    <xdr:row>33</xdr:row>
                    <xdr:rowOff>38100</xdr:rowOff>
                  </from>
                  <to>
                    <xdr:col>12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42" name="Check Box 441">
              <controlPr defaultSize="0" autoFill="0" autoLine="0" autoPict="0">
                <anchor moveWithCells="1">
                  <from>
                    <xdr:col>13</xdr:col>
                    <xdr:colOff>47625</xdr:colOff>
                    <xdr:row>33</xdr:row>
                    <xdr:rowOff>38100</xdr:rowOff>
                  </from>
                  <to>
                    <xdr:col>13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43" name="Check Box 442">
              <controlPr defaultSize="0" autoFill="0" autoLine="0" autoPict="0">
                <anchor moveWithCells="1">
                  <from>
                    <xdr:col>14</xdr:col>
                    <xdr:colOff>47625</xdr:colOff>
                    <xdr:row>33</xdr:row>
                    <xdr:rowOff>38100</xdr:rowOff>
                  </from>
                  <to>
                    <xdr:col>14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44" name="Check Box 443">
              <controlPr defaultSize="0" autoFill="0" autoLine="0" autoPict="0">
                <anchor moveWithCells="1">
                  <from>
                    <xdr:col>15</xdr:col>
                    <xdr:colOff>47625</xdr:colOff>
                    <xdr:row>33</xdr:row>
                    <xdr:rowOff>38100</xdr:rowOff>
                  </from>
                  <to>
                    <xdr:col>15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45" name="Check Box 444">
              <controlPr defaultSize="0" autoFill="0" autoLine="0" autoPict="0">
                <anchor moveWithCells="1">
                  <from>
                    <xdr:col>16</xdr:col>
                    <xdr:colOff>47625</xdr:colOff>
                    <xdr:row>33</xdr:row>
                    <xdr:rowOff>38100</xdr:rowOff>
                  </from>
                  <to>
                    <xdr:col>16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46" name="Check Box 445">
              <controlPr defaultSize="0" autoFill="0" autoLine="0" autoPict="0">
                <anchor moveWithCells="1">
                  <from>
                    <xdr:col>17</xdr:col>
                    <xdr:colOff>47625</xdr:colOff>
                    <xdr:row>33</xdr:row>
                    <xdr:rowOff>38100</xdr:rowOff>
                  </from>
                  <to>
                    <xdr:col>17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47" name="Check Box 446">
              <controlPr defaultSize="0" autoFill="0" autoLine="0" autoPict="0">
                <anchor moveWithCells="1">
                  <from>
                    <xdr:col>18</xdr:col>
                    <xdr:colOff>47625</xdr:colOff>
                    <xdr:row>33</xdr:row>
                    <xdr:rowOff>38100</xdr:rowOff>
                  </from>
                  <to>
                    <xdr:col>18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48" name="Check Box 447">
              <controlPr defaultSize="0" autoFill="0" autoLine="0" autoPict="0">
                <anchor moveWithCells="1">
                  <from>
                    <xdr:col>19</xdr:col>
                    <xdr:colOff>47625</xdr:colOff>
                    <xdr:row>33</xdr:row>
                    <xdr:rowOff>38100</xdr:rowOff>
                  </from>
                  <to>
                    <xdr:col>19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49" name="Check Box 448">
              <controlPr defaultSize="0" autoFill="0" autoLine="0" autoPict="0">
                <anchor moveWithCells="1">
                  <from>
                    <xdr:col>20</xdr:col>
                    <xdr:colOff>47625</xdr:colOff>
                    <xdr:row>33</xdr:row>
                    <xdr:rowOff>38100</xdr:rowOff>
                  </from>
                  <to>
                    <xdr:col>20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50" name="Check Box 449">
              <controlPr defaultSize="0" autoFill="0" autoLine="0" autoPict="0">
                <anchor moveWithCells="1">
                  <from>
                    <xdr:col>21</xdr:col>
                    <xdr:colOff>47625</xdr:colOff>
                    <xdr:row>33</xdr:row>
                    <xdr:rowOff>38100</xdr:rowOff>
                  </from>
                  <to>
                    <xdr:col>21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51" name="Check Box 450">
              <controlPr defaultSize="0" autoFill="0" autoLine="0" autoPict="0">
                <anchor moveWithCells="1">
                  <from>
                    <xdr:col>22</xdr:col>
                    <xdr:colOff>47625</xdr:colOff>
                    <xdr:row>33</xdr:row>
                    <xdr:rowOff>38100</xdr:rowOff>
                  </from>
                  <to>
                    <xdr:col>22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52" name="Check Box 451">
              <controlPr defaultSize="0" autoFill="0" autoLine="0" autoPict="0">
                <anchor moveWithCells="1">
                  <from>
                    <xdr:col>23</xdr:col>
                    <xdr:colOff>47625</xdr:colOff>
                    <xdr:row>33</xdr:row>
                    <xdr:rowOff>38100</xdr:rowOff>
                  </from>
                  <to>
                    <xdr:col>23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53" name="Check Box 452">
              <controlPr defaultSize="0" autoFill="0" autoLine="0" autoPict="0">
                <anchor moveWithCells="1">
                  <from>
                    <xdr:col>24</xdr:col>
                    <xdr:colOff>47625</xdr:colOff>
                    <xdr:row>33</xdr:row>
                    <xdr:rowOff>38100</xdr:rowOff>
                  </from>
                  <to>
                    <xdr:col>24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54" name="Check Box 453">
              <controlPr defaultSize="0" autoFill="0" autoLine="0" autoPict="0">
                <anchor moveWithCells="1">
                  <from>
                    <xdr:col>25</xdr:col>
                    <xdr:colOff>47625</xdr:colOff>
                    <xdr:row>33</xdr:row>
                    <xdr:rowOff>38100</xdr:rowOff>
                  </from>
                  <to>
                    <xdr:col>25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55" name="Check Box 454">
              <controlPr defaultSize="0" autoFill="0" autoLine="0" autoPict="0">
                <anchor moveWithCells="1">
                  <from>
                    <xdr:col>26</xdr:col>
                    <xdr:colOff>47625</xdr:colOff>
                    <xdr:row>33</xdr:row>
                    <xdr:rowOff>38100</xdr:rowOff>
                  </from>
                  <to>
                    <xdr:col>26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56" name="Check Box 455">
              <controlPr defaultSize="0" autoFill="0" autoLine="0" autoPict="0">
                <anchor moveWithCells="1">
                  <from>
                    <xdr:col>27</xdr:col>
                    <xdr:colOff>47625</xdr:colOff>
                    <xdr:row>33</xdr:row>
                    <xdr:rowOff>38100</xdr:rowOff>
                  </from>
                  <to>
                    <xdr:col>27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57" name="Check Box 456">
              <controlPr defaultSize="0" autoFill="0" autoLine="0" autoPict="0">
                <anchor moveWithCells="1">
                  <from>
                    <xdr:col>28</xdr:col>
                    <xdr:colOff>47625</xdr:colOff>
                    <xdr:row>33</xdr:row>
                    <xdr:rowOff>38100</xdr:rowOff>
                  </from>
                  <to>
                    <xdr:col>28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58" name="Check Box 457">
              <controlPr defaultSize="0" autoFill="0" autoLine="0" autoPict="0">
                <anchor moveWithCells="1">
                  <from>
                    <xdr:col>29</xdr:col>
                    <xdr:colOff>47625</xdr:colOff>
                    <xdr:row>33</xdr:row>
                    <xdr:rowOff>38100</xdr:rowOff>
                  </from>
                  <to>
                    <xdr:col>29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59" name="Check Box 458">
              <controlPr defaultSize="0" autoFill="0" autoLine="0" autoPict="0">
                <anchor moveWithCells="1">
                  <from>
                    <xdr:col>30</xdr:col>
                    <xdr:colOff>47625</xdr:colOff>
                    <xdr:row>33</xdr:row>
                    <xdr:rowOff>38100</xdr:rowOff>
                  </from>
                  <to>
                    <xdr:col>30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60" name="Check Box 459">
              <controlPr defaultSize="0" autoFill="0" autoLine="0" autoPict="0">
                <anchor moveWithCells="1">
                  <from>
                    <xdr:col>31</xdr:col>
                    <xdr:colOff>47625</xdr:colOff>
                    <xdr:row>33</xdr:row>
                    <xdr:rowOff>38100</xdr:rowOff>
                  </from>
                  <to>
                    <xdr:col>31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61" name="Check Box 460">
              <controlPr defaultSize="0" autoFill="0" autoLine="0" autoPict="0">
                <anchor moveWithCells="1">
                  <from>
                    <xdr:col>32</xdr:col>
                    <xdr:colOff>47625</xdr:colOff>
                    <xdr:row>33</xdr:row>
                    <xdr:rowOff>38100</xdr:rowOff>
                  </from>
                  <to>
                    <xdr:col>32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62" name="Check Box 461">
              <controlPr defaultSize="0" autoFill="0" autoLine="0" autoPict="0">
                <anchor moveWithCells="1">
                  <from>
                    <xdr:col>33</xdr:col>
                    <xdr:colOff>47625</xdr:colOff>
                    <xdr:row>33</xdr:row>
                    <xdr:rowOff>38100</xdr:rowOff>
                  </from>
                  <to>
                    <xdr:col>33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63" name="Check Box 462">
              <controlPr defaultSize="0" autoFill="0" autoLine="0" autoPict="0">
                <anchor moveWithCells="1">
                  <from>
                    <xdr:col>34</xdr:col>
                    <xdr:colOff>47625</xdr:colOff>
                    <xdr:row>33</xdr:row>
                    <xdr:rowOff>38100</xdr:rowOff>
                  </from>
                  <to>
                    <xdr:col>34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64" name="Check Box 463">
              <controlPr defaultSize="0" autoFill="0" autoLine="0" autoPict="0">
                <anchor moveWithCells="1">
                  <from>
                    <xdr:col>35</xdr:col>
                    <xdr:colOff>47625</xdr:colOff>
                    <xdr:row>33</xdr:row>
                    <xdr:rowOff>38100</xdr:rowOff>
                  </from>
                  <to>
                    <xdr:col>35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65" name="Check Box 464">
              <controlPr defaultSize="0" autoFill="0" autoLine="0" autoPict="0">
                <anchor moveWithCells="1">
                  <from>
                    <xdr:col>36</xdr:col>
                    <xdr:colOff>47625</xdr:colOff>
                    <xdr:row>33</xdr:row>
                    <xdr:rowOff>38100</xdr:rowOff>
                  </from>
                  <to>
                    <xdr:col>36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66" name="Check Box 465">
              <controlPr defaultSize="0" autoFill="0" autoLine="0" autoPict="0">
                <anchor moveWithCells="1">
                  <from>
                    <xdr:col>37</xdr:col>
                    <xdr:colOff>47625</xdr:colOff>
                    <xdr:row>33</xdr:row>
                    <xdr:rowOff>38100</xdr:rowOff>
                  </from>
                  <to>
                    <xdr:col>37</xdr:col>
                    <xdr:colOff>342900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67" name="Check Box 466">
              <controlPr defaultSize="0" autoFill="0" autoLine="0" autoPict="0">
                <anchor moveWithCells="1">
                  <from>
                    <xdr:col>7</xdr:col>
                    <xdr:colOff>47625</xdr:colOff>
                    <xdr:row>34</xdr:row>
                    <xdr:rowOff>38100</xdr:rowOff>
                  </from>
                  <to>
                    <xdr:col>7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68" name="Check Box 467">
              <controlPr defaultSize="0" autoFill="0" autoLine="0" autoPict="0">
                <anchor moveWithCells="1">
                  <from>
                    <xdr:col>8</xdr:col>
                    <xdr:colOff>47625</xdr:colOff>
                    <xdr:row>34</xdr:row>
                    <xdr:rowOff>38100</xdr:rowOff>
                  </from>
                  <to>
                    <xdr:col>8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69" name="Check Box 468">
              <controlPr defaultSize="0" autoFill="0" autoLine="0" autoPict="0">
                <anchor moveWithCells="1">
                  <from>
                    <xdr:col>9</xdr:col>
                    <xdr:colOff>47625</xdr:colOff>
                    <xdr:row>34</xdr:row>
                    <xdr:rowOff>38100</xdr:rowOff>
                  </from>
                  <to>
                    <xdr:col>9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70" name="Check Box 469">
              <controlPr defaultSize="0" autoFill="0" autoLine="0" autoPict="0">
                <anchor moveWithCells="1">
                  <from>
                    <xdr:col>10</xdr:col>
                    <xdr:colOff>47625</xdr:colOff>
                    <xdr:row>34</xdr:row>
                    <xdr:rowOff>38100</xdr:rowOff>
                  </from>
                  <to>
                    <xdr:col>10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71" name="Check Box 470">
              <controlPr defaultSize="0" autoFill="0" autoLine="0" autoPict="0">
                <anchor moveWithCells="1">
                  <from>
                    <xdr:col>11</xdr:col>
                    <xdr:colOff>47625</xdr:colOff>
                    <xdr:row>34</xdr:row>
                    <xdr:rowOff>38100</xdr:rowOff>
                  </from>
                  <to>
                    <xdr:col>11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72" name="Check Box 471">
              <controlPr defaultSize="0" autoFill="0" autoLine="0" autoPict="0">
                <anchor moveWithCells="1">
                  <from>
                    <xdr:col>12</xdr:col>
                    <xdr:colOff>47625</xdr:colOff>
                    <xdr:row>34</xdr:row>
                    <xdr:rowOff>38100</xdr:rowOff>
                  </from>
                  <to>
                    <xdr:col>12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73" name="Check Box 472">
              <controlPr defaultSize="0" autoFill="0" autoLine="0" autoPict="0">
                <anchor moveWithCells="1">
                  <from>
                    <xdr:col>13</xdr:col>
                    <xdr:colOff>47625</xdr:colOff>
                    <xdr:row>34</xdr:row>
                    <xdr:rowOff>38100</xdr:rowOff>
                  </from>
                  <to>
                    <xdr:col>13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74" name="Check Box 473">
              <controlPr defaultSize="0" autoFill="0" autoLine="0" autoPict="0">
                <anchor moveWithCells="1">
                  <from>
                    <xdr:col>14</xdr:col>
                    <xdr:colOff>47625</xdr:colOff>
                    <xdr:row>34</xdr:row>
                    <xdr:rowOff>38100</xdr:rowOff>
                  </from>
                  <to>
                    <xdr:col>14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75" name="Check Box 474">
              <controlPr defaultSize="0" autoFill="0" autoLine="0" autoPict="0">
                <anchor moveWithCells="1">
                  <from>
                    <xdr:col>15</xdr:col>
                    <xdr:colOff>47625</xdr:colOff>
                    <xdr:row>34</xdr:row>
                    <xdr:rowOff>38100</xdr:rowOff>
                  </from>
                  <to>
                    <xdr:col>15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76" name="Check Box 475">
              <controlPr defaultSize="0" autoFill="0" autoLine="0" autoPict="0">
                <anchor moveWithCells="1">
                  <from>
                    <xdr:col>16</xdr:col>
                    <xdr:colOff>47625</xdr:colOff>
                    <xdr:row>34</xdr:row>
                    <xdr:rowOff>38100</xdr:rowOff>
                  </from>
                  <to>
                    <xdr:col>16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77" name="Check Box 476">
              <controlPr defaultSize="0" autoFill="0" autoLine="0" autoPict="0">
                <anchor moveWithCells="1">
                  <from>
                    <xdr:col>17</xdr:col>
                    <xdr:colOff>47625</xdr:colOff>
                    <xdr:row>34</xdr:row>
                    <xdr:rowOff>38100</xdr:rowOff>
                  </from>
                  <to>
                    <xdr:col>17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78" name="Check Box 477">
              <controlPr defaultSize="0" autoFill="0" autoLine="0" autoPict="0">
                <anchor moveWithCells="1">
                  <from>
                    <xdr:col>18</xdr:col>
                    <xdr:colOff>47625</xdr:colOff>
                    <xdr:row>34</xdr:row>
                    <xdr:rowOff>38100</xdr:rowOff>
                  </from>
                  <to>
                    <xdr:col>18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79" name="Check Box 478">
              <controlPr defaultSize="0" autoFill="0" autoLine="0" autoPict="0">
                <anchor moveWithCells="1">
                  <from>
                    <xdr:col>19</xdr:col>
                    <xdr:colOff>47625</xdr:colOff>
                    <xdr:row>34</xdr:row>
                    <xdr:rowOff>38100</xdr:rowOff>
                  </from>
                  <to>
                    <xdr:col>19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0" name="Check Box 479">
              <controlPr defaultSize="0" autoFill="0" autoLine="0" autoPict="0">
                <anchor moveWithCells="1">
                  <from>
                    <xdr:col>20</xdr:col>
                    <xdr:colOff>47625</xdr:colOff>
                    <xdr:row>34</xdr:row>
                    <xdr:rowOff>38100</xdr:rowOff>
                  </from>
                  <to>
                    <xdr:col>20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1" name="Check Box 480">
              <controlPr defaultSize="0" autoFill="0" autoLine="0" autoPict="0">
                <anchor moveWithCells="1">
                  <from>
                    <xdr:col>21</xdr:col>
                    <xdr:colOff>47625</xdr:colOff>
                    <xdr:row>34</xdr:row>
                    <xdr:rowOff>38100</xdr:rowOff>
                  </from>
                  <to>
                    <xdr:col>21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2" name="Check Box 481">
              <controlPr defaultSize="0" autoFill="0" autoLine="0" autoPict="0">
                <anchor moveWithCells="1">
                  <from>
                    <xdr:col>22</xdr:col>
                    <xdr:colOff>47625</xdr:colOff>
                    <xdr:row>34</xdr:row>
                    <xdr:rowOff>38100</xdr:rowOff>
                  </from>
                  <to>
                    <xdr:col>22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3" name="Check Box 482">
              <controlPr defaultSize="0" autoFill="0" autoLine="0" autoPict="0">
                <anchor moveWithCells="1">
                  <from>
                    <xdr:col>23</xdr:col>
                    <xdr:colOff>47625</xdr:colOff>
                    <xdr:row>34</xdr:row>
                    <xdr:rowOff>38100</xdr:rowOff>
                  </from>
                  <to>
                    <xdr:col>23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84" name="Check Box 483">
              <controlPr defaultSize="0" autoFill="0" autoLine="0" autoPict="0">
                <anchor moveWithCells="1">
                  <from>
                    <xdr:col>24</xdr:col>
                    <xdr:colOff>47625</xdr:colOff>
                    <xdr:row>34</xdr:row>
                    <xdr:rowOff>38100</xdr:rowOff>
                  </from>
                  <to>
                    <xdr:col>24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85" name="Check Box 484">
              <controlPr defaultSize="0" autoFill="0" autoLine="0" autoPict="0">
                <anchor moveWithCells="1">
                  <from>
                    <xdr:col>25</xdr:col>
                    <xdr:colOff>47625</xdr:colOff>
                    <xdr:row>34</xdr:row>
                    <xdr:rowOff>38100</xdr:rowOff>
                  </from>
                  <to>
                    <xdr:col>25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86" name="Check Box 485">
              <controlPr defaultSize="0" autoFill="0" autoLine="0" autoPict="0">
                <anchor moveWithCells="1">
                  <from>
                    <xdr:col>26</xdr:col>
                    <xdr:colOff>47625</xdr:colOff>
                    <xdr:row>34</xdr:row>
                    <xdr:rowOff>38100</xdr:rowOff>
                  </from>
                  <to>
                    <xdr:col>26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87" name="Check Box 486">
              <controlPr defaultSize="0" autoFill="0" autoLine="0" autoPict="0">
                <anchor moveWithCells="1">
                  <from>
                    <xdr:col>27</xdr:col>
                    <xdr:colOff>47625</xdr:colOff>
                    <xdr:row>34</xdr:row>
                    <xdr:rowOff>38100</xdr:rowOff>
                  </from>
                  <to>
                    <xdr:col>27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88" name="Check Box 487">
              <controlPr defaultSize="0" autoFill="0" autoLine="0" autoPict="0">
                <anchor moveWithCells="1">
                  <from>
                    <xdr:col>28</xdr:col>
                    <xdr:colOff>47625</xdr:colOff>
                    <xdr:row>34</xdr:row>
                    <xdr:rowOff>38100</xdr:rowOff>
                  </from>
                  <to>
                    <xdr:col>28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89" name="Check Box 488">
              <controlPr defaultSize="0" autoFill="0" autoLine="0" autoPict="0">
                <anchor moveWithCells="1">
                  <from>
                    <xdr:col>29</xdr:col>
                    <xdr:colOff>47625</xdr:colOff>
                    <xdr:row>34</xdr:row>
                    <xdr:rowOff>38100</xdr:rowOff>
                  </from>
                  <to>
                    <xdr:col>29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0" name="Check Box 489">
              <controlPr defaultSize="0" autoFill="0" autoLine="0" autoPict="0">
                <anchor moveWithCells="1">
                  <from>
                    <xdr:col>30</xdr:col>
                    <xdr:colOff>47625</xdr:colOff>
                    <xdr:row>34</xdr:row>
                    <xdr:rowOff>38100</xdr:rowOff>
                  </from>
                  <to>
                    <xdr:col>30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1" name="Check Box 490">
              <controlPr defaultSize="0" autoFill="0" autoLine="0" autoPict="0">
                <anchor moveWithCells="1">
                  <from>
                    <xdr:col>31</xdr:col>
                    <xdr:colOff>47625</xdr:colOff>
                    <xdr:row>34</xdr:row>
                    <xdr:rowOff>38100</xdr:rowOff>
                  </from>
                  <to>
                    <xdr:col>31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2" name="Check Box 491">
              <controlPr defaultSize="0" autoFill="0" autoLine="0" autoPict="0">
                <anchor moveWithCells="1">
                  <from>
                    <xdr:col>32</xdr:col>
                    <xdr:colOff>47625</xdr:colOff>
                    <xdr:row>34</xdr:row>
                    <xdr:rowOff>38100</xdr:rowOff>
                  </from>
                  <to>
                    <xdr:col>32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3" name="Check Box 492">
              <controlPr defaultSize="0" autoFill="0" autoLine="0" autoPict="0">
                <anchor moveWithCells="1">
                  <from>
                    <xdr:col>33</xdr:col>
                    <xdr:colOff>47625</xdr:colOff>
                    <xdr:row>34</xdr:row>
                    <xdr:rowOff>38100</xdr:rowOff>
                  </from>
                  <to>
                    <xdr:col>33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94" name="Check Box 493">
              <controlPr defaultSize="0" autoFill="0" autoLine="0" autoPict="0">
                <anchor moveWithCells="1">
                  <from>
                    <xdr:col>34</xdr:col>
                    <xdr:colOff>47625</xdr:colOff>
                    <xdr:row>34</xdr:row>
                    <xdr:rowOff>38100</xdr:rowOff>
                  </from>
                  <to>
                    <xdr:col>34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95" name="Check Box 494">
              <controlPr defaultSize="0" autoFill="0" autoLine="0" autoPict="0">
                <anchor moveWithCells="1">
                  <from>
                    <xdr:col>35</xdr:col>
                    <xdr:colOff>47625</xdr:colOff>
                    <xdr:row>34</xdr:row>
                    <xdr:rowOff>38100</xdr:rowOff>
                  </from>
                  <to>
                    <xdr:col>35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96" name="Check Box 495">
              <controlPr defaultSize="0" autoFill="0" autoLine="0" autoPict="0">
                <anchor moveWithCells="1">
                  <from>
                    <xdr:col>36</xdr:col>
                    <xdr:colOff>47625</xdr:colOff>
                    <xdr:row>34</xdr:row>
                    <xdr:rowOff>38100</xdr:rowOff>
                  </from>
                  <to>
                    <xdr:col>36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7" name="Check Box 496">
              <controlPr defaultSize="0" autoFill="0" autoLine="0" autoPict="0">
                <anchor moveWithCells="1">
                  <from>
                    <xdr:col>37</xdr:col>
                    <xdr:colOff>47625</xdr:colOff>
                    <xdr:row>34</xdr:row>
                    <xdr:rowOff>38100</xdr:rowOff>
                  </from>
                  <to>
                    <xdr:col>37</xdr:col>
                    <xdr:colOff>342900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98" name="Check Box 497">
              <controlPr defaultSize="0" autoFill="0" autoLine="0" autoPict="0">
                <anchor moveWithCells="1">
                  <from>
                    <xdr:col>7</xdr:col>
                    <xdr:colOff>47625</xdr:colOff>
                    <xdr:row>35</xdr:row>
                    <xdr:rowOff>38100</xdr:rowOff>
                  </from>
                  <to>
                    <xdr:col>7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499" name="Check Box 498">
              <controlPr defaultSize="0" autoFill="0" autoLine="0" autoPict="0">
                <anchor moveWithCells="1">
                  <from>
                    <xdr:col>8</xdr:col>
                    <xdr:colOff>47625</xdr:colOff>
                    <xdr:row>35</xdr:row>
                    <xdr:rowOff>38100</xdr:rowOff>
                  </from>
                  <to>
                    <xdr:col>8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0" name="Check Box 499">
              <controlPr defaultSize="0" autoFill="0" autoLine="0" autoPict="0">
                <anchor moveWithCells="1">
                  <from>
                    <xdr:col>9</xdr:col>
                    <xdr:colOff>47625</xdr:colOff>
                    <xdr:row>35</xdr:row>
                    <xdr:rowOff>38100</xdr:rowOff>
                  </from>
                  <to>
                    <xdr:col>9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1" name="Check Box 500">
              <controlPr defaultSize="0" autoFill="0" autoLine="0" autoPict="0">
                <anchor moveWithCells="1">
                  <from>
                    <xdr:col>10</xdr:col>
                    <xdr:colOff>47625</xdr:colOff>
                    <xdr:row>35</xdr:row>
                    <xdr:rowOff>38100</xdr:rowOff>
                  </from>
                  <to>
                    <xdr:col>10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2" name="Check Box 501">
              <controlPr defaultSize="0" autoFill="0" autoLine="0" autoPict="0">
                <anchor moveWithCells="1">
                  <from>
                    <xdr:col>11</xdr:col>
                    <xdr:colOff>47625</xdr:colOff>
                    <xdr:row>35</xdr:row>
                    <xdr:rowOff>38100</xdr:rowOff>
                  </from>
                  <to>
                    <xdr:col>11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3" name="Check Box 502">
              <controlPr defaultSize="0" autoFill="0" autoLine="0" autoPict="0">
                <anchor moveWithCells="1">
                  <from>
                    <xdr:col>12</xdr:col>
                    <xdr:colOff>47625</xdr:colOff>
                    <xdr:row>35</xdr:row>
                    <xdr:rowOff>38100</xdr:rowOff>
                  </from>
                  <to>
                    <xdr:col>12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04" name="Check Box 503">
              <controlPr defaultSize="0" autoFill="0" autoLine="0" autoPict="0">
                <anchor moveWithCells="1">
                  <from>
                    <xdr:col>13</xdr:col>
                    <xdr:colOff>47625</xdr:colOff>
                    <xdr:row>35</xdr:row>
                    <xdr:rowOff>38100</xdr:rowOff>
                  </from>
                  <to>
                    <xdr:col>13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05" name="Check Box 504">
              <controlPr defaultSize="0" autoFill="0" autoLine="0" autoPict="0">
                <anchor moveWithCells="1">
                  <from>
                    <xdr:col>14</xdr:col>
                    <xdr:colOff>47625</xdr:colOff>
                    <xdr:row>35</xdr:row>
                    <xdr:rowOff>38100</xdr:rowOff>
                  </from>
                  <to>
                    <xdr:col>14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06" name="Check Box 505">
              <controlPr defaultSize="0" autoFill="0" autoLine="0" autoPict="0">
                <anchor moveWithCells="1">
                  <from>
                    <xdr:col>15</xdr:col>
                    <xdr:colOff>47625</xdr:colOff>
                    <xdr:row>35</xdr:row>
                    <xdr:rowOff>38100</xdr:rowOff>
                  </from>
                  <to>
                    <xdr:col>15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07" name="Check Box 506">
              <controlPr defaultSize="0" autoFill="0" autoLine="0" autoPict="0">
                <anchor moveWithCells="1">
                  <from>
                    <xdr:col>16</xdr:col>
                    <xdr:colOff>47625</xdr:colOff>
                    <xdr:row>35</xdr:row>
                    <xdr:rowOff>38100</xdr:rowOff>
                  </from>
                  <to>
                    <xdr:col>16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08" name="Check Box 507">
              <controlPr defaultSize="0" autoFill="0" autoLine="0" autoPict="0">
                <anchor moveWithCells="1">
                  <from>
                    <xdr:col>17</xdr:col>
                    <xdr:colOff>47625</xdr:colOff>
                    <xdr:row>35</xdr:row>
                    <xdr:rowOff>38100</xdr:rowOff>
                  </from>
                  <to>
                    <xdr:col>17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09" name="Check Box 508">
              <controlPr defaultSize="0" autoFill="0" autoLine="0" autoPict="0">
                <anchor moveWithCells="1">
                  <from>
                    <xdr:col>18</xdr:col>
                    <xdr:colOff>47625</xdr:colOff>
                    <xdr:row>35</xdr:row>
                    <xdr:rowOff>38100</xdr:rowOff>
                  </from>
                  <to>
                    <xdr:col>18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0" name="Check Box 509">
              <controlPr defaultSize="0" autoFill="0" autoLine="0" autoPict="0">
                <anchor moveWithCells="1">
                  <from>
                    <xdr:col>19</xdr:col>
                    <xdr:colOff>47625</xdr:colOff>
                    <xdr:row>35</xdr:row>
                    <xdr:rowOff>38100</xdr:rowOff>
                  </from>
                  <to>
                    <xdr:col>19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1" name="Check Box 510">
              <controlPr defaultSize="0" autoFill="0" autoLine="0" autoPict="0">
                <anchor moveWithCells="1">
                  <from>
                    <xdr:col>20</xdr:col>
                    <xdr:colOff>47625</xdr:colOff>
                    <xdr:row>35</xdr:row>
                    <xdr:rowOff>38100</xdr:rowOff>
                  </from>
                  <to>
                    <xdr:col>20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2" name="Check Box 511">
              <controlPr defaultSize="0" autoFill="0" autoLine="0" autoPict="0">
                <anchor moveWithCells="1">
                  <from>
                    <xdr:col>21</xdr:col>
                    <xdr:colOff>47625</xdr:colOff>
                    <xdr:row>35</xdr:row>
                    <xdr:rowOff>38100</xdr:rowOff>
                  </from>
                  <to>
                    <xdr:col>21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3" name="Check Box 512">
              <controlPr defaultSize="0" autoFill="0" autoLine="0" autoPict="0">
                <anchor moveWithCells="1">
                  <from>
                    <xdr:col>22</xdr:col>
                    <xdr:colOff>47625</xdr:colOff>
                    <xdr:row>35</xdr:row>
                    <xdr:rowOff>38100</xdr:rowOff>
                  </from>
                  <to>
                    <xdr:col>22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14" name="Check Box 513">
              <controlPr defaultSize="0" autoFill="0" autoLine="0" autoPict="0">
                <anchor moveWithCells="1">
                  <from>
                    <xdr:col>23</xdr:col>
                    <xdr:colOff>47625</xdr:colOff>
                    <xdr:row>35</xdr:row>
                    <xdr:rowOff>38100</xdr:rowOff>
                  </from>
                  <to>
                    <xdr:col>23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15" name="Check Box 514">
              <controlPr defaultSize="0" autoFill="0" autoLine="0" autoPict="0">
                <anchor moveWithCells="1">
                  <from>
                    <xdr:col>24</xdr:col>
                    <xdr:colOff>47625</xdr:colOff>
                    <xdr:row>35</xdr:row>
                    <xdr:rowOff>38100</xdr:rowOff>
                  </from>
                  <to>
                    <xdr:col>24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16" name="Check Box 515">
              <controlPr defaultSize="0" autoFill="0" autoLine="0" autoPict="0">
                <anchor moveWithCells="1">
                  <from>
                    <xdr:col>25</xdr:col>
                    <xdr:colOff>47625</xdr:colOff>
                    <xdr:row>35</xdr:row>
                    <xdr:rowOff>38100</xdr:rowOff>
                  </from>
                  <to>
                    <xdr:col>25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17" name="Check Box 516">
              <controlPr defaultSize="0" autoFill="0" autoLine="0" autoPict="0">
                <anchor moveWithCells="1">
                  <from>
                    <xdr:col>26</xdr:col>
                    <xdr:colOff>47625</xdr:colOff>
                    <xdr:row>35</xdr:row>
                    <xdr:rowOff>38100</xdr:rowOff>
                  </from>
                  <to>
                    <xdr:col>26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18" name="Check Box 517">
              <controlPr defaultSize="0" autoFill="0" autoLine="0" autoPict="0">
                <anchor moveWithCells="1">
                  <from>
                    <xdr:col>27</xdr:col>
                    <xdr:colOff>47625</xdr:colOff>
                    <xdr:row>35</xdr:row>
                    <xdr:rowOff>38100</xdr:rowOff>
                  </from>
                  <to>
                    <xdr:col>27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19" name="Check Box 518">
              <controlPr defaultSize="0" autoFill="0" autoLine="0" autoPict="0">
                <anchor moveWithCells="1">
                  <from>
                    <xdr:col>28</xdr:col>
                    <xdr:colOff>47625</xdr:colOff>
                    <xdr:row>35</xdr:row>
                    <xdr:rowOff>38100</xdr:rowOff>
                  </from>
                  <to>
                    <xdr:col>28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0" name="Check Box 519">
              <controlPr defaultSize="0" autoFill="0" autoLine="0" autoPict="0">
                <anchor moveWithCells="1">
                  <from>
                    <xdr:col>29</xdr:col>
                    <xdr:colOff>47625</xdr:colOff>
                    <xdr:row>35</xdr:row>
                    <xdr:rowOff>38100</xdr:rowOff>
                  </from>
                  <to>
                    <xdr:col>29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1" name="Check Box 520">
              <controlPr defaultSize="0" autoFill="0" autoLine="0" autoPict="0">
                <anchor moveWithCells="1">
                  <from>
                    <xdr:col>30</xdr:col>
                    <xdr:colOff>47625</xdr:colOff>
                    <xdr:row>35</xdr:row>
                    <xdr:rowOff>38100</xdr:rowOff>
                  </from>
                  <to>
                    <xdr:col>30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2" name="Check Box 521">
              <controlPr defaultSize="0" autoFill="0" autoLine="0" autoPict="0">
                <anchor moveWithCells="1">
                  <from>
                    <xdr:col>31</xdr:col>
                    <xdr:colOff>47625</xdr:colOff>
                    <xdr:row>35</xdr:row>
                    <xdr:rowOff>38100</xdr:rowOff>
                  </from>
                  <to>
                    <xdr:col>31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3" name="Check Box 522">
              <controlPr defaultSize="0" autoFill="0" autoLine="0" autoPict="0">
                <anchor moveWithCells="1">
                  <from>
                    <xdr:col>32</xdr:col>
                    <xdr:colOff>47625</xdr:colOff>
                    <xdr:row>35</xdr:row>
                    <xdr:rowOff>38100</xdr:rowOff>
                  </from>
                  <to>
                    <xdr:col>32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24" name="Check Box 523">
              <controlPr defaultSize="0" autoFill="0" autoLine="0" autoPict="0">
                <anchor moveWithCells="1">
                  <from>
                    <xdr:col>33</xdr:col>
                    <xdr:colOff>47625</xdr:colOff>
                    <xdr:row>35</xdr:row>
                    <xdr:rowOff>38100</xdr:rowOff>
                  </from>
                  <to>
                    <xdr:col>33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25" name="Check Box 524">
              <controlPr defaultSize="0" autoFill="0" autoLine="0" autoPict="0">
                <anchor moveWithCells="1">
                  <from>
                    <xdr:col>34</xdr:col>
                    <xdr:colOff>47625</xdr:colOff>
                    <xdr:row>35</xdr:row>
                    <xdr:rowOff>38100</xdr:rowOff>
                  </from>
                  <to>
                    <xdr:col>34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26" name="Check Box 525">
              <controlPr defaultSize="0" autoFill="0" autoLine="0" autoPict="0">
                <anchor moveWithCells="1">
                  <from>
                    <xdr:col>35</xdr:col>
                    <xdr:colOff>47625</xdr:colOff>
                    <xdr:row>35</xdr:row>
                    <xdr:rowOff>38100</xdr:rowOff>
                  </from>
                  <to>
                    <xdr:col>35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27" name="Check Box 526">
              <controlPr defaultSize="0" autoFill="0" autoLine="0" autoPict="0">
                <anchor moveWithCells="1">
                  <from>
                    <xdr:col>36</xdr:col>
                    <xdr:colOff>47625</xdr:colOff>
                    <xdr:row>35</xdr:row>
                    <xdr:rowOff>38100</xdr:rowOff>
                  </from>
                  <to>
                    <xdr:col>36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28" name="Check Box 527">
              <controlPr defaultSize="0" autoFill="0" autoLine="0" autoPict="0">
                <anchor moveWithCells="1">
                  <from>
                    <xdr:col>37</xdr:col>
                    <xdr:colOff>47625</xdr:colOff>
                    <xdr:row>35</xdr:row>
                    <xdr:rowOff>38100</xdr:rowOff>
                  </from>
                  <to>
                    <xdr:col>37</xdr:col>
                    <xdr:colOff>342900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29" name="Check Box 528">
              <controlPr defaultSize="0" autoFill="0" autoLine="0" autoPict="0">
                <anchor moveWithCells="1">
                  <from>
                    <xdr:col>7</xdr:col>
                    <xdr:colOff>47625</xdr:colOff>
                    <xdr:row>36</xdr:row>
                    <xdr:rowOff>38100</xdr:rowOff>
                  </from>
                  <to>
                    <xdr:col>7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0" name="Check Box 529">
              <controlPr defaultSize="0" autoFill="0" autoLine="0" autoPict="0">
                <anchor moveWithCells="1">
                  <from>
                    <xdr:col>8</xdr:col>
                    <xdr:colOff>47625</xdr:colOff>
                    <xdr:row>36</xdr:row>
                    <xdr:rowOff>38100</xdr:rowOff>
                  </from>
                  <to>
                    <xdr:col>8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1" name="Check Box 530">
              <controlPr defaultSize="0" autoFill="0" autoLine="0" autoPict="0">
                <anchor moveWithCells="1">
                  <from>
                    <xdr:col>9</xdr:col>
                    <xdr:colOff>47625</xdr:colOff>
                    <xdr:row>36</xdr:row>
                    <xdr:rowOff>38100</xdr:rowOff>
                  </from>
                  <to>
                    <xdr:col>9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2" name="Check Box 531">
              <controlPr defaultSize="0" autoFill="0" autoLine="0" autoPict="0">
                <anchor moveWithCells="1">
                  <from>
                    <xdr:col>10</xdr:col>
                    <xdr:colOff>47625</xdr:colOff>
                    <xdr:row>36</xdr:row>
                    <xdr:rowOff>38100</xdr:rowOff>
                  </from>
                  <to>
                    <xdr:col>10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3" name="Check Box 532">
              <controlPr defaultSize="0" autoFill="0" autoLine="0" autoPict="0">
                <anchor moveWithCells="1">
                  <from>
                    <xdr:col>11</xdr:col>
                    <xdr:colOff>47625</xdr:colOff>
                    <xdr:row>36</xdr:row>
                    <xdr:rowOff>38100</xdr:rowOff>
                  </from>
                  <to>
                    <xdr:col>11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34" name="Check Box 533">
              <controlPr defaultSize="0" autoFill="0" autoLine="0" autoPict="0">
                <anchor moveWithCells="1">
                  <from>
                    <xdr:col>12</xdr:col>
                    <xdr:colOff>47625</xdr:colOff>
                    <xdr:row>36</xdr:row>
                    <xdr:rowOff>38100</xdr:rowOff>
                  </from>
                  <to>
                    <xdr:col>12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35" name="Check Box 534">
              <controlPr defaultSize="0" autoFill="0" autoLine="0" autoPict="0">
                <anchor moveWithCells="1">
                  <from>
                    <xdr:col>13</xdr:col>
                    <xdr:colOff>47625</xdr:colOff>
                    <xdr:row>36</xdr:row>
                    <xdr:rowOff>38100</xdr:rowOff>
                  </from>
                  <to>
                    <xdr:col>13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36" name="Check Box 535">
              <controlPr defaultSize="0" autoFill="0" autoLine="0" autoPict="0">
                <anchor moveWithCells="1">
                  <from>
                    <xdr:col>14</xdr:col>
                    <xdr:colOff>47625</xdr:colOff>
                    <xdr:row>36</xdr:row>
                    <xdr:rowOff>38100</xdr:rowOff>
                  </from>
                  <to>
                    <xdr:col>14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37" name="Check Box 536">
              <controlPr defaultSize="0" autoFill="0" autoLine="0" autoPict="0">
                <anchor moveWithCells="1">
                  <from>
                    <xdr:col>15</xdr:col>
                    <xdr:colOff>47625</xdr:colOff>
                    <xdr:row>36</xdr:row>
                    <xdr:rowOff>38100</xdr:rowOff>
                  </from>
                  <to>
                    <xdr:col>15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38" name="Check Box 537">
              <controlPr defaultSize="0" autoFill="0" autoLine="0" autoPict="0">
                <anchor moveWithCells="1">
                  <from>
                    <xdr:col>16</xdr:col>
                    <xdr:colOff>47625</xdr:colOff>
                    <xdr:row>36</xdr:row>
                    <xdr:rowOff>38100</xdr:rowOff>
                  </from>
                  <to>
                    <xdr:col>16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39" name="Check Box 538">
              <controlPr defaultSize="0" autoFill="0" autoLine="0" autoPict="0">
                <anchor moveWithCells="1">
                  <from>
                    <xdr:col>17</xdr:col>
                    <xdr:colOff>47625</xdr:colOff>
                    <xdr:row>36</xdr:row>
                    <xdr:rowOff>38100</xdr:rowOff>
                  </from>
                  <to>
                    <xdr:col>17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0" name="Check Box 539">
              <controlPr defaultSize="0" autoFill="0" autoLine="0" autoPict="0">
                <anchor moveWithCells="1">
                  <from>
                    <xdr:col>18</xdr:col>
                    <xdr:colOff>47625</xdr:colOff>
                    <xdr:row>36</xdr:row>
                    <xdr:rowOff>38100</xdr:rowOff>
                  </from>
                  <to>
                    <xdr:col>18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1" name="Check Box 540">
              <controlPr defaultSize="0" autoFill="0" autoLine="0" autoPict="0">
                <anchor moveWithCells="1">
                  <from>
                    <xdr:col>19</xdr:col>
                    <xdr:colOff>47625</xdr:colOff>
                    <xdr:row>36</xdr:row>
                    <xdr:rowOff>38100</xdr:rowOff>
                  </from>
                  <to>
                    <xdr:col>19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2" name="Check Box 541">
              <controlPr defaultSize="0" autoFill="0" autoLine="0" autoPict="0">
                <anchor moveWithCells="1">
                  <from>
                    <xdr:col>20</xdr:col>
                    <xdr:colOff>47625</xdr:colOff>
                    <xdr:row>36</xdr:row>
                    <xdr:rowOff>38100</xdr:rowOff>
                  </from>
                  <to>
                    <xdr:col>20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3" name="Check Box 542">
              <controlPr defaultSize="0" autoFill="0" autoLine="0" autoPict="0">
                <anchor moveWithCells="1">
                  <from>
                    <xdr:col>21</xdr:col>
                    <xdr:colOff>47625</xdr:colOff>
                    <xdr:row>36</xdr:row>
                    <xdr:rowOff>38100</xdr:rowOff>
                  </from>
                  <to>
                    <xdr:col>21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44" name="Check Box 543">
              <controlPr defaultSize="0" autoFill="0" autoLine="0" autoPict="0">
                <anchor moveWithCells="1">
                  <from>
                    <xdr:col>22</xdr:col>
                    <xdr:colOff>47625</xdr:colOff>
                    <xdr:row>36</xdr:row>
                    <xdr:rowOff>38100</xdr:rowOff>
                  </from>
                  <to>
                    <xdr:col>22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45" name="Check Box 544">
              <controlPr defaultSize="0" autoFill="0" autoLine="0" autoPict="0">
                <anchor moveWithCells="1">
                  <from>
                    <xdr:col>23</xdr:col>
                    <xdr:colOff>47625</xdr:colOff>
                    <xdr:row>36</xdr:row>
                    <xdr:rowOff>38100</xdr:rowOff>
                  </from>
                  <to>
                    <xdr:col>23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46" name="Check Box 545">
              <controlPr defaultSize="0" autoFill="0" autoLine="0" autoPict="0">
                <anchor moveWithCells="1">
                  <from>
                    <xdr:col>24</xdr:col>
                    <xdr:colOff>47625</xdr:colOff>
                    <xdr:row>36</xdr:row>
                    <xdr:rowOff>38100</xdr:rowOff>
                  </from>
                  <to>
                    <xdr:col>24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47" name="Check Box 546">
              <controlPr defaultSize="0" autoFill="0" autoLine="0" autoPict="0">
                <anchor moveWithCells="1">
                  <from>
                    <xdr:col>25</xdr:col>
                    <xdr:colOff>47625</xdr:colOff>
                    <xdr:row>36</xdr:row>
                    <xdr:rowOff>38100</xdr:rowOff>
                  </from>
                  <to>
                    <xdr:col>25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48" name="Check Box 547">
              <controlPr defaultSize="0" autoFill="0" autoLine="0" autoPict="0">
                <anchor moveWithCells="1">
                  <from>
                    <xdr:col>26</xdr:col>
                    <xdr:colOff>47625</xdr:colOff>
                    <xdr:row>36</xdr:row>
                    <xdr:rowOff>38100</xdr:rowOff>
                  </from>
                  <to>
                    <xdr:col>26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49" name="Check Box 548">
              <controlPr defaultSize="0" autoFill="0" autoLine="0" autoPict="0">
                <anchor moveWithCells="1">
                  <from>
                    <xdr:col>27</xdr:col>
                    <xdr:colOff>47625</xdr:colOff>
                    <xdr:row>36</xdr:row>
                    <xdr:rowOff>38100</xdr:rowOff>
                  </from>
                  <to>
                    <xdr:col>27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0" name="Check Box 549">
              <controlPr defaultSize="0" autoFill="0" autoLine="0" autoPict="0">
                <anchor moveWithCells="1">
                  <from>
                    <xdr:col>28</xdr:col>
                    <xdr:colOff>47625</xdr:colOff>
                    <xdr:row>36</xdr:row>
                    <xdr:rowOff>38100</xdr:rowOff>
                  </from>
                  <to>
                    <xdr:col>28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1" name="Check Box 550">
              <controlPr defaultSize="0" autoFill="0" autoLine="0" autoPict="0">
                <anchor moveWithCells="1">
                  <from>
                    <xdr:col>29</xdr:col>
                    <xdr:colOff>47625</xdr:colOff>
                    <xdr:row>36</xdr:row>
                    <xdr:rowOff>38100</xdr:rowOff>
                  </from>
                  <to>
                    <xdr:col>29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2" name="Check Box 551">
              <controlPr defaultSize="0" autoFill="0" autoLine="0" autoPict="0">
                <anchor moveWithCells="1">
                  <from>
                    <xdr:col>30</xdr:col>
                    <xdr:colOff>47625</xdr:colOff>
                    <xdr:row>36</xdr:row>
                    <xdr:rowOff>38100</xdr:rowOff>
                  </from>
                  <to>
                    <xdr:col>30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3" name="Check Box 552">
              <controlPr defaultSize="0" autoFill="0" autoLine="0" autoPict="0">
                <anchor moveWithCells="1">
                  <from>
                    <xdr:col>31</xdr:col>
                    <xdr:colOff>47625</xdr:colOff>
                    <xdr:row>36</xdr:row>
                    <xdr:rowOff>38100</xdr:rowOff>
                  </from>
                  <to>
                    <xdr:col>31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54" name="Check Box 553">
              <controlPr defaultSize="0" autoFill="0" autoLine="0" autoPict="0">
                <anchor moveWithCells="1">
                  <from>
                    <xdr:col>32</xdr:col>
                    <xdr:colOff>47625</xdr:colOff>
                    <xdr:row>36</xdr:row>
                    <xdr:rowOff>38100</xdr:rowOff>
                  </from>
                  <to>
                    <xdr:col>32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55" name="Check Box 554">
              <controlPr defaultSize="0" autoFill="0" autoLine="0" autoPict="0">
                <anchor moveWithCells="1">
                  <from>
                    <xdr:col>33</xdr:col>
                    <xdr:colOff>47625</xdr:colOff>
                    <xdr:row>36</xdr:row>
                    <xdr:rowOff>38100</xdr:rowOff>
                  </from>
                  <to>
                    <xdr:col>33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56" name="Check Box 555">
              <controlPr defaultSize="0" autoFill="0" autoLine="0" autoPict="0">
                <anchor moveWithCells="1">
                  <from>
                    <xdr:col>34</xdr:col>
                    <xdr:colOff>47625</xdr:colOff>
                    <xdr:row>36</xdr:row>
                    <xdr:rowOff>38100</xdr:rowOff>
                  </from>
                  <to>
                    <xdr:col>34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57" name="Check Box 556">
              <controlPr defaultSize="0" autoFill="0" autoLine="0" autoPict="0">
                <anchor moveWithCells="1">
                  <from>
                    <xdr:col>35</xdr:col>
                    <xdr:colOff>47625</xdr:colOff>
                    <xdr:row>36</xdr:row>
                    <xdr:rowOff>38100</xdr:rowOff>
                  </from>
                  <to>
                    <xdr:col>35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58" name="Check Box 557">
              <controlPr defaultSize="0" autoFill="0" autoLine="0" autoPict="0">
                <anchor moveWithCells="1">
                  <from>
                    <xdr:col>36</xdr:col>
                    <xdr:colOff>47625</xdr:colOff>
                    <xdr:row>36</xdr:row>
                    <xdr:rowOff>38100</xdr:rowOff>
                  </from>
                  <to>
                    <xdr:col>36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59" name="Check Box 558">
              <controlPr defaultSize="0" autoFill="0" autoLine="0" autoPict="0">
                <anchor moveWithCells="1">
                  <from>
                    <xdr:col>37</xdr:col>
                    <xdr:colOff>47625</xdr:colOff>
                    <xdr:row>36</xdr:row>
                    <xdr:rowOff>38100</xdr:rowOff>
                  </from>
                  <to>
                    <xdr:col>37</xdr:col>
                    <xdr:colOff>342900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0" name="Check Box 559">
              <controlPr defaultSize="0" autoFill="0" autoLine="0" autoPict="0">
                <anchor moveWithCells="1">
                  <from>
                    <xdr:col>7</xdr:col>
                    <xdr:colOff>47625</xdr:colOff>
                    <xdr:row>37</xdr:row>
                    <xdr:rowOff>38100</xdr:rowOff>
                  </from>
                  <to>
                    <xdr:col>7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1" name="Check Box 560">
              <controlPr defaultSize="0" autoFill="0" autoLine="0" autoPict="0">
                <anchor moveWithCells="1">
                  <from>
                    <xdr:col>8</xdr:col>
                    <xdr:colOff>47625</xdr:colOff>
                    <xdr:row>37</xdr:row>
                    <xdr:rowOff>38100</xdr:rowOff>
                  </from>
                  <to>
                    <xdr:col>8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2" name="Check Box 561">
              <controlPr defaultSize="0" autoFill="0" autoLine="0" autoPict="0">
                <anchor moveWithCells="1">
                  <from>
                    <xdr:col>9</xdr:col>
                    <xdr:colOff>47625</xdr:colOff>
                    <xdr:row>37</xdr:row>
                    <xdr:rowOff>38100</xdr:rowOff>
                  </from>
                  <to>
                    <xdr:col>9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3" name="Check Box 562">
              <controlPr defaultSize="0" autoFill="0" autoLine="0" autoPict="0">
                <anchor moveWithCells="1">
                  <from>
                    <xdr:col>10</xdr:col>
                    <xdr:colOff>47625</xdr:colOff>
                    <xdr:row>37</xdr:row>
                    <xdr:rowOff>38100</xdr:rowOff>
                  </from>
                  <to>
                    <xdr:col>10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64" name="Check Box 563">
              <controlPr defaultSize="0" autoFill="0" autoLine="0" autoPict="0">
                <anchor moveWithCells="1">
                  <from>
                    <xdr:col>11</xdr:col>
                    <xdr:colOff>47625</xdr:colOff>
                    <xdr:row>37</xdr:row>
                    <xdr:rowOff>38100</xdr:rowOff>
                  </from>
                  <to>
                    <xdr:col>11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65" name="Check Box 564">
              <controlPr defaultSize="0" autoFill="0" autoLine="0" autoPict="0">
                <anchor moveWithCells="1">
                  <from>
                    <xdr:col>12</xdr:col>
                    <xdr:colOff>47625</xdr:colOff>
                    <xdr:row>37</xdr:row>
                    <xdr:rowOff>38100</xdr:rowOff>
                  </from>
                  <to>
                    <xdr:col>12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66" name="Check Box 565">
              <controlPr defaultSize="0" autoFill="0" autoLine="0" autoPict="0">
                <anchor moveWithCells="1">
                  <from>
                    <xdr:col>13</xdr:col>
                    <xdr:colOff>47625</xdr:colOff>
                    <xdr:row>37</xdr:row>
                    <xdr:rowOff>38100</xdr:rowOff>
                  </from>
                  <to>
                    <xdr:col>13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67" name="Check Box 566">
              <controlPr defaultSize="0" autoFill="0" autoLine="0" autoPict="0">
                <anchor moveWithCells="1">
                  <from>
                    <xdr:col>14</xdr:col>
                    <xdr:colOff>47625</xdr:colOff>
                    <xdr:row>37</xdr:row>
                    <xdr:rowOff>38100</xdr:rowOff>
                  </from>
                  <to>
                    <xdr:col>14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68" name="Check Box 567">
              <controlPr defaultSize="0" autoFill="0" autoLine="0" autoPict="0">
                <anchor moveWithCells="1">
                  <from>
                    <xdr:col>15</xdr:col>
                    <xdr:colOff>47625</xdr:colOff>
                    <xdr:row>37</xdr:row>
                    <xdr:rowOff>38100</xdr:rowOff>
                  </from>
                  <to>
                    <xdr:col>15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69" name="Check Box 568">
              <controlPr defaultSize="0" autoFill="0" autoLine="0" autoPict="0">
                <anchor moveWithCells="1">
                  <from>
                    <xdr:col>16</xdr:col>
                    <xdr:colOff>47625</xdr:colOff>
                    <xdr:row>37</xdr:row>
                    <xdr:rowOff>38100</xdr:rowOff>
                  </from>
                  <to>
                    <xdr:col>16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0" name="Check Box 569">
              <controlPr defaultSize="0" autoFill="0" autoLine="0" autoPict="0">
                <anchor moveWithCells="1">
                  <from>
                    <xdr:col>17</xdr:col>
                    <xdr:colOff>47625</xdr:colOff>
                    <xdr:row>37</xdr:row>
                    <xdr:rowOff>38100</xdr:rowOff>
                  </from>
                  <to>
                    <xdr:col>17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1" name="Check Box 570">
              <controlPr defaultSize="0" autoFill="0" autoLine="0" autoPict="0">
                <anchor moveWithCells="1">
                  <from>
                    <xdr:col>18</xdr:col>
                    <xdr:colOff>47625</xdr:colOff>
                    <xdr:row>37</xdr:row>
                    <xdr:rowOff>38100</xdr:rowOff>
                  </from>
                  <to>
                    <xdr:col>18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2" name="Check Box 571">
              <controlPr defaultSize="0" autoFill="0" autoLine="0" autoPict="0">
                <anchor moveWithCells="1">
                  <from>
                    <xdr:col>19</xdr:col>
                    <xdr:colOff>47625</xdr:colOff>
                    <xdr:row>37</xdr:row>
                    <xdr:rowOff>38100</xdr:rowOff>
                  </from>
                  <to>
                    <xdr:col>19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3" name="Check Box 572">
              <controlPr defaultSize="0" autoFill="0" autoLine="0" autoPict="0">
                <anchor moveWithCells="1">
                  <from>
                    <xdr:col>20</xdr:col>
                    <xdr:colOff>47625</xdr:colOff>
                    <xdr:row>37</xdr:row>
                    <xdr:rowOff>38100</xdr:rowOff>
                  </from>
                  <to>
                    <xdr:col>20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74" name="Check Box 573">
              <controlPr defaultSize="0" autoFill="0" autoLine="0" autoPict="0">
                <anchor moveWithCells="1">
                  <from>
                    <xdr:col>21</xdr:col>
                    <xdr:colOff>47625</xdr:colOff>
                    <xdr:row>37</xdr:row>
                    <xdr:rowOff>38100</xdr:rowOff>
                  </from>
                  <to>
                    <xdr:col>21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75" name="Check Box 574">
              <controlPr defaultSize="0" autoFill="0" autoLine="0" autoPict="0">
                <anchor moveWithCells="1">
                  <from>
                    <xdr:col>22</xdr:col>
                    <xdr:colOff>47625</xdr:colOff>
                    <xdr:row>37</xdr:row>
                    <xdr:rowOff>38100</xdr:rowOff>
                  </from>
                  <to>
                    <xdr:col>22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76" name="Check Box 575">
              <controlPr defaultSize="0" autoFill="0" autoLine="0" autoPict="0">
                <anchor moveWithCells="1">
                  <from>
                    <xdr:col>23</xdr:col>
                    <xdr:colOff>47625</xdr:colOff>
                    <xdr:row>37</xdr:row>
                    <xdr:rowOff>38100</xdr:rowOff>
                  </from>
                  <to>
                    <xdr:col>23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77" name="Check Box 576">
              <controlPr defaultSize="0" autoFill="0" autoLine="0" autoPict="0">
                <anchor moveWithCells="1">
                  <from>
                    <xdr:col>24</xdr:col>
                    <xdr:colOff>47625</xdr:colOff>
                    <xdr:row>37</xdr:row>
                    <xdr:rowOff>38100</xdr:rowOff>
                  </from>
                  <to>
                    <xdr:col>24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78" name="Check Box 577">
              <controlPr defaultSize="0" autoFill="0" autoLine="0" autoPict="0">
                <anchor moveWithCells="1">
                  <from>
                    <xdr:col>25</xdr:col>
                    <xdr:colOff>47625</xdr:colOff>
                    <xdr:row>37</xdr:row>
                    <xdr:rowOff>38100</xdr:rowOff>
                  </from>
                  <to>
                    <xdr:col>25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79" name="Check Box 578">
              <controlPr defaultSize="0" autoFill="0" autoLine="0" autoPict="0">
                <anchor moveWithCells="1">
                  <from>
                    <xdr:col>26</xdr:col>
                    <xdr:colOff>47625</xdr:colOff>
                    <xdr:row>37</xdr:row>
                    <xdr:rowOff>38100</xdr:rowOff>
                  </from>
                  <to>
                    <xdr:col>26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80" name="Check Box 579">
              <controlPr defaultSize="0" autoFill="0" autoLine="0" autoPict="0">
                <anchor moveWithCells="1">
                  <from>
                    <xdr:col>27</xdr:col>
                    <xdr:colOff>47625</xdr:colOff>
                    <xdr:row>37</xdr:row>
                    <xdr:rowOff>38100</xdr:rowOff>
                  </from>
                  <to>
                    <xdr:col>27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81" name="Check Box 580">
              <controlPr defaultSize="0" autoFill="0" autoLine="0" autoPict="0">
                <anchor moveWithCells="1">
                  <from>
                    <xdr:col>28</xdr:col>
                    <xdr:colOff>47625</xdr:colOff>
                    <xdr:row>37</xdr:row>
                    <xdr:rowOff>38100</xdr:rowOff>
                  </from>
                  <to>
                    <xdr:col>28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82" name="Check Box 581">
              <controlPr defaultSize="0" autoFill="0" autoLine="0" autoPict="0">
                <anchor moveWithCells="1">
                  <from>
                    <xdr:col>29</xdr:col>
                    <xdr:colOff>47625</xdr:colOff>
                    <xdr:row>37</xdr:row>
                    <xdr:rowOff>38100</xdr:rowOff>
                  </from>
                  <to>
                    <xdr:col>29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83" name="Check Box 582">
              <controlPr defaultSize="0" autoFill="0" autoLine="0" autoPict="0">
                <anchor moveWithCells="1">
                  <from>
                    <xdr:col>30</xdr:col>
                    <xdr:colOff>47625</xdr:colOff>
                    <xdr:row>37</xdr:row>
                    <xdr:rowOff>38100</xdr:rowOff>
                  </from>
                  <to>
                    <xdr:col>30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84" name="Check Box 583">
              <controlPr defaultSize="0" autoFill="0" autoLine="0" autoPict="0">
                <anchor moveWithCells="1">
                  <from>
                    <xdr:col>31</xdr:col>
                    <xdr:colOff>47625</xdr:colOff>
                    <xdr:row>37</xdr:row>
                    <xdr:rowOff>38100</xdr:rowOff>
                  </from>
                  <to>
                    <xdr:col>31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85" name="Check Box 584">
              <controlPr defaultSize="0" autoFill="0" autoLine="0" autoPict="0">
                <anchor moveWithCells="1">
                  <from>
                    <xdr:col>32</xdr:col>
                    <xdr:colOff>47625</xdr:colOff>
                    <xdr:row>37</xdr:row>
                    <xdr:rowOff>38100</xdr:rowOff>
                  </from>
                  <to>
                    <xdr:col>32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86" name="Check Box 585">
              <controlPr defaultSize="0" autoFill="0" autoLine="0" autoPict="0">
                <anchor moveWithCells="1">
                  <from>
                    <xdr:col>33</xdr:col>
                    <xdr:colOff>47625</xdr:colOff>
                    <xdr:row>37</xdr:row>
                    <xdr:rowOff>38100</xdr:rowOff>
                  </from>
                  <to>
                    <xdr:col>33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87" name="Check Box 586">
              <controlPr defaultSize="0" autoFill="0" autoLine="0" autoPict="0">
                <anchor moveWithCells="1">
                  <from>
                    <xdr:col>34</xdr:col>
                    <xdr:colOff>47625</xdr:colOff>
                    <xdr:row>37</xdr:row>
                    <xdr:rowOff>38100</xdr:rowOff>
                  </from>
                  <to>
                    <xdr:col>34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88" name="Check Box 587">
              <controlPr defaultSize="0" autoFill="0" autoLine="0" autoPict="0">
                <anchor moveWithCells="1">
                  <from>
                    <xdr:col>35</xdr:col>
                    <xdr:colOff>47625</xdr:colOff>
                    <xdr:row>37</xdr:row>
                    <xdr:rowOff>38100</xdr:rowOff>
                  </from>
                  <to>
                    <xdr:col>35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89" name="Check Box 588">
              <controlPr defaultSize="0" autoFill="0" autoLine="0" autoPict="0">
                <anchor moveWithCells="1">
                  <from>
                    <xdr:col>36</xdr:col>
                    <xdr:colOff>47625</xdr:colOff>
                    <xdr:row>37</xdr:row>
                    <xdr:rowOff>38100</xdr:rowOff>
                  </from>
                  <to>
                    <xdr:col>36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90" name="Check Box 589">
              <controlPr defaultSize="0" autoFill="0" autoLine="0" autoPict="0">
                <anchor moveWithCells="1">
                  <from>
                    <xdr:col>37</xdr:col>
                    <xdr:colOff>47625</xdr:colOff>
                    <xdr:row>37</xdr:row>
                    <xdr:rowOff>38100</xdr:rowOff>
                  </from>
                  <to>
                    <xdr:col>37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91" name="Check Box 590">
              <controlPr defaultSize="0" autoFill="0" autoLine="0" autoPict="0">
                <anchor moveWithCells="1">
                  <from>
                    <xdr:col>7</xdr:col>
                    <xdr:colOff>47625</xdr:colOff>
                    <xdr:row>38</xdr:row>
                    <xdr:rowOff>38100</xdr:rowOff>
                  </from>
                  <to>
                    <xdr:col>7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92" name="Check Box 591">
              <controlPr defaultSize="0" autoFill="0" autoLine="0" autoPict="0">
                <anchor moveWithCells="1">
                  <from>
                    <xdr:col>8</xdr:col>
                    <xdr:colOff>47625</xdr:colOff>
                    <xdr:row>38</xdr:row>
                    <xdr:rowOff>38100</xdr:rowOff>
                  </from>
                  <to>
                    <xdr:col>8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93" name="Check Box 592">
              <controlPr defaultSize="0" autoFill="0" autoLine="0" autoPict="0">
                <anchor moveWithCells="1">
                  <from>
                    <xdr:col>9</xdr:col>
                    <xdr:colOff>47625</xdr:colOff>
                    <xdr:row>38</xdr:row>
                    <xdr:rowOff>38100</xdr:rowOff>
                  </from>
                  <to>
                    <xdr:col>9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94" name="Check Box 593">
              <controlPr defaultSize="0" autoFill="0" autoLine="0" autoPict="0">
                <anchor moveWithCells="1">
                  <from>
                    <xdr:col>10</xdr:col>
                    <xdr:colOff>47625</xdr:colOff>
                    <xdr:row>38</xdr:row>
                    <xdr:rowOff>38100</xdr:rowOff>
                  </from>
                  <to>
                    <xdr:col>10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95" name="Check Box 594">
              <controlPr defaultSize="0" autoFill="0" autoLine="0" autoPict="0">
                <anchor moveWithCells="1">
                  <from>
                    <xdr:col>11</xdr:col>
                    <xdr:colOff>47625</xdr:colOff>
                    <xdr:row>38</xdr:row>
                    <xdr:rowOff>38100</xdr:rowOff>
                  </from>
                  <to>
                    <xdr:col>11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96" name="Check Box 595">
              <controlPr defaultSize="0" autoFill="0" autoLine="0" autoPict="0">
                <anchor moveWithCells="1">
                  <from>
                    <xdr:col>12</xdr:col>
                    <xdr:colOff>47625</xdr:colOff>
                    <xdr:row>38</xdr:row>
                    <xdr:rowOff>38100</xdr:rowOff>
                  </from>
                  <to>
                    <xdr:col>12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97" name="Check Box 596">
              <controlPr defaultSize="0" autoFill="0" autoLine="0" autoPict="0">
                <anchor moveWithCells="1">
                  <from>
                    <xdr:col>13</xdr:col>
                    <xdr:colOff>47625</xdr:colOff>
                    <xdr:row>38</xdr:row>
                    <xdr:rowOff>38100</xdr:rowOff>
                  </from>
                  <to>
                    <xdr:col>13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98" name="Check Box 597">
              <controlPr defaultSize="0" autoFill="0" autoLine="0" autoPict="0">
                <anchor moveWithCells="1">
                  <from>
                    <xdr:col>14</xdr:col>
                    <xdr:colOff>47625</xdr:colOff>
                    <xdr:row>38</xdr:row>
                    <xdr:rowOff>38100</xdr:rowOff>
                  </from>
                  <to>
                    <xdr:col>14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599" name="Check Box 598">
              <controlPr defaultSize="0" autoFill="0" autoLine="0" autoPict="0">
                <anchor moveWithCells="1">
                  <from>
                    <xdr:col>15</xdr:col>
                    <xdr:colOff>47625</xdr:colOff>
                    <xdr:row>38</xdr:row>
                    <xdr:rowOff>38100</xdr:rowOff>
                  </from>
                  <to>
                    <xdr:col>15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600" name="Check Box 599">
              <controlPr defaultSize="0" autoFill="0" autoLine="0" autoPict="0">
                <anchor moveWithCells="1">
                  <from>
                    <xdr:col>16</xdr:col>
                    <xdr:colOff>47625</xdr:colOff>
                    <xdr:row>38</xdr:row>
                    <xdr:rowOff>38100</xdr:rowOff>
                  </from>
                  <to>
                    <xdr:col>16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601" name="Check Box 600">
              <controlPr defaultSize="0" autoFill="0" autoLine="0" autoPict="0">
                <anchor moveWithCells="1">
                  <from>
                    <xdr:col>17</xdr:col>
                    <xdr:colOff>47625</xdr:colOff>
                    <xdr:row>38</xdr:row>
                    <xdr:rowOff>38100</xdr:rowOff>
                  </from>
                  <to>
                    <xdr:col>17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602" name="Check Box 601">
              <controlPr defaultSize="0" autoFill="0" autoLine="0" autoPict="0">
                <anchor moveWithCells="1">
                  <from>
                    <xdr:col>18</xdr:col>
                    <xdr:colOff>47625</xdr:colOff>
                    <xdr:row>38</xdr:row>
                    <xdr:rowOff>38100</xdr:rowOff>
                  </from>
                  <to>
                    <xdr:col>18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603" name="Check Box 602">
              <controlPr defaultSize="0" autoFill="0" autoLine="0" autoPict="0">
                <anchor moveWithCells="1">
                  <from>
                    <xdr:col>19</xdr:col>
                    <xdr:colOff>47625</xdr:colOff>
                    <xdr:row>38</xdr:row>
                    <xdr:rowOff>38100</xdr:rowOff>
                  </from>
                  <to>
                    <xdr:col>19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604" name="Check Box 603">
              <controlPr defaultSize="0" autoFill="0" autoLine="0" autoPict="0">
                <anchor moveWithCells="1">
                  <from>
                    <xdr:col>20</xdr:col>
                    <xdr:colOff>47625</xdr:colOff>
                    <xdr:row>38</xdr:row>
                    <xdr:rowOff>38100</xdr:rowOff>
                  </from>
                  <to>
                    <xdr:col>20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605" name="Check Box 604">
              <controlPr defaultSize="0" autoFill="0" autoLine="0" autoPict="0">
                <anchor moveWithCells="1">
                  <from>
                    <xdr:col>21</xdr:col>
                    <xdr:colOff>47625</xdr:colOff>
                    <xdr:row>38</xdr:row>
                    <xdr:rowOff>38100</xdr:rowOff>
                  </from>
                  <to>
                    <xdr:col>21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606" name="Check Box 605">
              <controlPr defaultSize="0" autoFill="0" autoLine="0" autoPict="0">
                <anchor moveWithCells="1">
                  <from>
                    <xdr:col>22</xdr:col>
                    <xdr:colOff>47625</xdr:colOff>
                    <xdr:row>38</xdr:row>
                    <xdr:rowOff>38100</xdr:rowOff>
                  </from>
                  <to>
                    <xdr:col>22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607" name="Check Box 606">
              <controlPr defaultSize="0" autoFill="0" autoLine="0" autoPict="0">
                <anchor moveWithCells="1">
                  <from>
                    <xdr:col>23</xdr:col>
                    <xdr:colOff>47625</xdr:colOff>
                    <xdr:row>38</xdr:row>
                    <xdr:rowOff>38100</xdr:rowOff>
                  </from>
                  <to>
                    <xdr:col>23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608" name="Check Box 607">
              <controlPr defaultSize="0" autoFill="0" autoLine="0" autoPict="0">
                <anchor moveWithCells="1">
                  <from>
                    <xdr:col>24</xdr:col>
                    <xdr:colOff>47625</xdr:colOff>
                    <xdr:row>38</xdr:row>
                    <xdr:rowOff>38100</xdr:rowOff>
                  </from>
                  <to>
                    <xdr:col>24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609" name="Check Box 608">
              <controlPr defaultSize="0" autoFill="0" autoLine="0" autoPict="0">
                <anchor moveWithCells="1">
                  <from>
                    <xdr:col>25</xdr:col>
                    <xdr:colOff>47625</xdr:colOff>
                    <xdr:row>38</xdr:row>
                    <xdr:rowOff>38100</xdr:rowOff>
                  </from>
                  <to>
                    <xdr:col>25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610" name="Check Box 609">
              <controlPr defaultSize="0" autoFill="0" autoLine="0" autoPict="0">
                <anchor moveWithCells="1">
                  <from>
                    <xdr:col>26</xdr:col>
                    <xdr:colOff>47625</xdr:colOff>
                    <xdr:row>38</xdr:row>
                    <xdr:rowOff>38100</xdr:rowOff>
                  </from>
                  <to>
                    <xdr:col>26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611" name="Check Box 610">
              <controlPr defaultSize="0" autoFill="0" autoLine="0" autoPict="0">
                <anchor moveWithCells="1">
                  <from>
                    <xdr:col>27</xdr:col>
                    <xdr:colOff>47625</xdr:colOff>
                    <xdr:row>38</xdr:row>
                    <xdr:rowOff>38100</xdr:rowOff>
                  </from>
                  <to>
                    <xdr:col>27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612" name="Check Box 611">
              <controlPr defaultSize="0" autoFill="0" autoLine="0" autoPict="0">
                <anchor moveWithCells="1">
                  <from>
                    <xdr:col>28</xdr:col>
                    <xdr:colOff>47625</xdr:colOff>
                    <xdr:row>38</xdr:row>
                    <xdr:rowOff>38100</xdr:rowOff>
                  </from>
                  <to>
                    <xdr:col>28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613" name="Check Box 612">
              <controlPr defaultSize="0" autoFill="0" autoLine="0" autoPict="0">
                <anchor moveWithCells="1">
                  <from>
                    <xdr:col>29</xdr:col>
                    <xdr:colOff>47625</xdr:colOff>
                    <xdr:row>38</xdr:row>
                    <xdr:rowOff>38100</xdr:rowOff>
                  </from>
                  <to>
                    <xdr:col>29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614" name="Check Box 613">
              <controlPr defaultSize="0" autoFill="0" autoLine="0" autoPict="0">
                <anchor moveWithCells="1">
                  <from>
                    <xdr:col>30</xdr:col>
                    <xdr:colOff>47625</xdr:colOff>
                    <xdr:row>38</xdr:row>
                    <xdr:rowOff>38100</xdr:rowOff>
                  </from>
                  <to>
                    <xdr:col>30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615" name="Check Box 614">
              <controlPr defaultSize="0" autoFill="0" autoLine="0" autoPict="0">
                <anchor moveWithCells="1">
                  <from>
                    <xdr:col>31</xdr:col>
                    <xdr:colOff>47625</xdr:colOff>
                    <xdr:row>38</xdr:row>
                    <xdr:rowOff>38100</xdr:rowOff>
                  </from>
                  <to>
                    <xdr:col>31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616" name="Check Box 615">
              <controlPr defaultSize="0" autoFill="0" autoLine="0" autoPict="0">
                <anchor moveWithCells="1">
                  <from>
                    <xdr:col>32</xdr:col>
                    <xdr:colOff>47625</xdr:colOff>
                    <xdr:row>38</xdr:row>
                    <xdr:rowOff>38100</xdr:rowOff>
                  </from>
                  <to>
                    <xdr:col>32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617" name="Check Box 616">
              <controlPr defaultSize="0" autoFill="0" autoLine="0" autoPict="0">
                <anchor moveWithCells="1">
                  <from>
                    <xdr:col>33</xdr:col>
                    <xdr:colOff>47625</xdr:colOff>
                    <xdr:row>38</xdr:row>
                    <xdr:rowOff>38100</xdr:rowOff>
                  </from>
                  <to>
                    <xdr:col>33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618" name="Check Box 617">
              <controlPr defaultSize="0" autoFill="0" autoLine="0" autoPict="0">
                <anchor moveWithCells="1">
                  <from>
                    <xdr:col>34</xdr:col>
                    <xdr:colOff>47625</xdr:colOff>
                    <xdr:row>38</xdr:row>
                    <xdr:rowOff>38100</xdr:rowOff>
                  </from>
                  <to>
                    <xdr:col>34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619" name="Check Box 618">
              <controlPr defaultSize="0" autoFill="0" autoLine="0" autoPict="0">
                <anchor moveWithCells="1">
                  <from>
                    <xdr:col>35</xdr:col>
                    <xdr:colOff>47625</xdr:colOff>
                    <xdr:row>38</xdr:row>
                    <xdr:rowOff>38100</xdr:rowOff>
                  </from>
                  <to>
                    <xdr:col>35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620" name="Check Box 619">
              <controlPr defaultSize="0" autoFill="0" autoLine="0" autoPict="0">
                <anchor moveWithCells="1">
                  <from>
                    <xdr:col>36</xdr:col>
                    <xdr:colOff>47625</xdr:colOff>
                    <xdr:row>38</xdr:row>
                    <xdr:rowOff>38100</xdr:rowOff>
                  </from>
                  <to>
                    <xdr:col>36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621" name="Check Box 620">
              <controlPr defaultSize="0" autoFill="0" autoLine="0" autoPict="0">
                <anchor moveWithCells="1">
                  <from>
                    <xdr:col>37</xdr:col>
                    <xdr:colOff>47625</xdr:colOff>
                    <xdr:row>38</xdr:row>
                    <xdr:rowOff>38100</xdr:rowOff>
                  </from>
                  <to>
                    <xdr:col>37</xdr:col>
                    <xdr:colOff>342900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22" name="Check Box 621">
              <controlPr defaultSize="0" autoFill="0" autoLine="0" autoPict="0">
                <anchor moveWithCells="1">
                  <from>
                    <xdr:col>7</xdr:col>
                    <xdr:colOff>47625</xdr:colOff>
                    <xdr:row>39</xdr:row>
                    <xdr:rowOff>38100</xdr:rowOff>
                  </from>
                  <to>
                    <xdr:col>7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23" name="Check Box 622">
              <controlPr defaultSize="0" autoFill="0" autoLine="0" autoPict="0">
                <anchor moveWithCells="1">
                  <from>
                    <xdr:col>8</xdr:col>
                    <xdr:colOff>47625</xdr:colOff>
                    <xdr:row>39</xdr:row>
                    <xdr:rowOff>38100</xdr:rowOff>
                  </from>
                  <to>
                    <xdr:col>8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24" name="Check Box 623">
              <controlPr defaultSize="0" autoFill="0" autoLine="0" autoPict="0">
                <anchor moveWithCells="1">
                  <from>
                    <xdr:col>9</xdr:col>
                    <xdr:colOff>47625</xdr:colOff>
                    <xdr:row>39</xdr:row>
                    <xdr:rowOff>38100</xdr:rowOff>
                  </from>
                  <to>
                    <xdr:col>9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25" name="Check Box 624">
              <controlPr defaultSize="0" autoFill="0" autoLine="0" autoPict="0">
                <anchor moveWithCells="1">
                  <from>
                    <xdr:col>10</xdr:col>
                    <xdr:colOff>47625</xdr:colOff>
                    <xdr:row>39</xdr:row>
                    <xdr:rowOff>38100</xdr:rowOff>
                  </from>
                  <to>
                    <xdr:col>10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26" name="Check Box 625">
              <controlPr defaultSize="0" autoFill="0" autoLine="0" autoPict="0">
                <anchor moveWithCells="1">
                  <from>
                    <xdr:col>11</xdr:col>
                    <xdr:colOff>47625</xdr:colOff>
                    <xdr:row>39</xdr:row>
                    <xdr:rowOff>38100</xdr:rowOff>
                  </from>
                  <to>
                    <xdr:col>11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27" name="Check Box 626">
              <controlPr defaultSize="0" autoFill="0" autoLine="0" autoPict="0">
                <anchor moveWithCells="1">
                  <from>
                    <xdr:col>12</xdr:col>
                    <xdr:colOff>47625</xdr:colOff>
                    <xdr:row>39</xdr:row>
                    <xdr:rowOff>38100</xdr:rowOff>
                  </from>
                  <to>
                    <xdr:col>12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28" name="Check Box 627">
              <controlPr defaultSize="0" autoFill="0" autoLine="0" autoPict="0">
                <anchor moveWithCells="1">
                  <from>
                    <xdr:col>13</xdr:col>
                    <xdr:colOff>47625</xdr:colOff>
                    <xdr:row>39</xdr:row>
                    <xdr:rowOff>38100</xdr:rowOff>
                  </from>
                  <to>
                    <xdr:col>13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29" name="Check Box 628">
              <controlPr defaultSize="0" autoFill="0" autoLine="0" autoPict="0">
                <anchor moveWithCells="1">
                  <from>
                    <xdr:col>14</xdr:col>
                    <xdr:colOff>47625</xdr:colOff>
                    <xdr:row>39</xdr:row>
                    <xdr:rowOff>38100</xdr:rowOff>
                  </from>
                  <to>
                    <xdr:col>14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30" name="Check Box 629">
              <controlPr defaultSize="0" autoFill="0" autoLine="0" autoPict="0">
                <anchor moveWithCells="1">
                  <from>
                    <xdr:col>15</xdr:col>
                    <xdr:colOff>47625</xdr:colOff>
                    <xdr:row>39</xdr:row>
                    <xdr:rowOff>38100</xdr:rowOff>
                  </from>
                  <to>
                    <xdr:col>15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31" name="Check Box 630">
              <controlPr defaultSize="0" autoFill="0" autoLine="0" autoPict="0">
                <anchor moveWithCells="1">
                  <from>
                    <xdr:col>16</xdr:col>
                    <xdr:colOff>47625</xdr:colOff>
                    <xdr:row>39</xdr:row>
                    <xdr:rowOff>38100</xdr:rowOff>
                  </from>
                  <to>
                    <xdr:col>16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32" name="Check Box 631">
              <controlPr defaultSize="0" autoFill="0" autoLine="0" autoPict="0">
                <anchor moveWithCells="1">
                  <from>
                    <xdr:col>17</xdr:col>
                    <xdr:colOff>47625</xdr:colOff>
                    <xdr:row>39</xdr:row>
                    <xdr:rowOff>38100</xdr:rowOff>
                  </from>
                  <to>
                    <xdr:col>17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33" name="Check Box 632">
              <controlPr defaultSize="0" autoFill="0" autoLine="0" autoPict="0">
                <anchor moveWithCells="1">
                  <from>
                    <xdr:col>18</xdr:col>
                    <xdr:colOff>47625</xdr:colOff>
                    <xdr:row>39</xdr:row>
                    <xdr:rowOff>38100</xdr:rowOff>
                  </from>
                  <to>
                    <xdr:col>18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34" name="Check Box 633">
              <controlPr defaultSize="0" autoFill="0" autoLine="0" autoPict="0">
                <anchor moveWithCells="1">
                  <from>
                    <xdr:col>19</xdr:col>
                    <xdr:colOff>47625</xdr:colOff>
                    <xdr:row>39</xdr:row>
                    <xdr:rowOff>38100</xdr:rowOff>
                  </from>
                  <to>
                    <xdr:col>19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35" name="Check Box 634">
              <controlPr defaultSize="0" autoFill="0" autoLine="0" autoPict="0">
                <anchor moveWithCells="1">
                  <from>
                    <xdr:col>20</xdr:col>
                    <xdr:colOff>47625</xdr:colOff>
                    <xdr:row>39</xdr:row>
                    <xdr:rowOff>38100</xdr:rowOff>
                  </from>
                  <to>
                    <xdr:col>20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36" name="Check Box 635">
              <controlPr defaultSize="0" autoFill="0" autoLine="0" autoPict="0">
                <anchor moveWithCells="1">
                  <from>
                    <xdr:col>21</xdr:col>
                    <xdr:colOff>47625</xdr:colOff>
                    <xdr:row>39</xdr:row>
                    <xdr:rowOff>38100</xdr:rowOff>
                  </from>
                  <to>
                    <xdr:col>21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37" name="Check Box 636">
              <controlPr defaultSize="0" autoFill="0" autoLine="0" autoPict="0">
                <anchor moveWithCells="1">
                  <from>
                    <xdr:col>22</xdr:col>
                    <xdr:colOff>47625</xdr:colOff>
                    <xdr:row>39</xdr:row>
                    <xdr:rowOff>38100</xdr:rowOff>
                  </from>
                  <to>
                    <xdr:col>22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38" name="Check Box 637">
              <controlPr defaultSize="0" autoFill="0" autoLine="0" autoPict="0">
                <anchor moveWithCells="1">
                  <from>
                    <xdr:col>23</xdr:col>
                    <xdr:colOff>47625</xdr:colOff>
                    <xdr:row>39</xdr:row>
                    <xdr:rowOff>38100</xdr:rowOff>
                  </from>
                  <to>
                    <xdr:col>23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39" name="Check Box 638">
              <controlPr defaultSize="0" autoFill="0" autoLine="0" autoPict="0">
                <anchor moveWithCells="1">
                  <from>
                    <xdr:col>24</xdr:col>
                    <xdr:colOff>47625</xdr:colOff>
                    <xdr:row>39</xdr:row>
                    <xdr:rowOff>38100</xdr:rowOff>
                  </from>
                  <to>
                    <xdr:col>24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40" name="Check Box 639">
              <controlPr defaultSize="0" autoFill="0" autoLine="0" autoPict="0">
                <anchor moveWithCells="1">
                  <from>
                    <xdr:col>25</xdr:col>
                    <xdr:colOff>47625</xdr:colOff>
                    <xdr:row>39</xdr:row>
                    <xdr:rowOff>38100</xdr:rowOff>
                  </from>
                  <to>
                    <xdr:col>25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41" name="Check Box 640">
              <controlPr defaultSize="0" autoFill="0" autoLine="0" autoPict="0">
                <anchor moveWithCells="1">
                  <from>
                    <xdr:col>26</xdr:col>
                    <xdr:colOff>47625</xdr:colOff>
                    <xdr:row>39</xdr:row>
                    <xdr:rowOff>38100</xdr:rowOff>
                  </from>
                  <to>
                    <xdr:col>26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42" name="Check Box 641">
              <controlPr defaultSize="0" autoFill="0" autoLine="0" autoPict="0">
                <anchor moveWithCells="1">
                  <from>
                    <xdr:col>27</xdr:col>
                    <xdr:colOff>47625</xdr:colOff>
                    <xdr:row>39</xdr:row>
                    <xdr:rowOff>38100</xdr:rowOff>
                  </from>
                  <to>
                    <xdr:col>27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43" name="Check Box 642">
              <controlPr defaultSize="0" autoFill="0" autoLine="0" autoPict="0">
                <anchor moveWithCells="1">
                  <from>
                    <xdr:col>28</xdr:col>
                    <xdr:colOff>47625</xdr:colOff>
                    <xdr:row>39</xdr:row>
                    <xdr:rowOff>38100</xdr:rowOff>
                  </from>
                  <to>
                    <xdr:col>28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44" name="Check Box 643">
              <controlPr defaultSize="0" autoFill="0" autoLine="0" autoPict="0">
                <anchor moveWithCells="1">
                  <from>
                    <xdr:col>29</xdr:col>
                    <xdr:colOff>47625</xdr:colOff>
                    <xdr:row>39</xdr:row>
                    <xdr:rowOff>38100</xdr:rowOff>
                  </from>
                  <to>
                    <xdr:col>29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45" name="Check Box 644">
              <controlPr defaultSize="0" autoFill="0" autoLine="0" autoPict="0">
                <anchor moveWithCells="1">
                  <from>
                    <xdr:col>30</xdr:col>
                    <xdr:colOff>47625</xdr:colOff>
                    <xdr:row>39</xdr:row>
                    <xdr:rowOff>38100</xdr:rowOff>
                  </from>
                  <to>
                    <xdr:col>30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646" name="Check Box 645">
              <controlPr defaultSize="0" autoFill="0" autoLine="0" autoPict="0">
                <anchor moveWithCells="1">
                  <from>
                    <xdr:col>31</xdr:col>
                    <xdr:colOff>47625</xdr:colOff>
                    <xdr:row>39</xdr:row>
                    <xdr:rowOff>38100</xdr:rowOff>
                  </from>
                  <to>
                    <xdr:col>31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647" name="Check Box 646">
              <controlPr defaultSize="0" autoFill="0" autoLine="0" autoPict="0">
                <anchor moveWithCells="1">
                  <from>
                    <xdr:col>32</xdr:col>
                    <xdr:colOff>47625</xdr:colOff>
                    <xdr:row>39</xdr:row>
                    <xdr:rowOff>38100</xdr:rowOff>
                  </from>
                  <to>
                    <xdr:col>32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648" name="Check Box 647">
              <controlPr defaultSize="0" autoFill="0" autoLine="0" autoPict="0">
                <anchor moveWithCells="1">
                  <from>
                    <xdr:col>33</xdr:col>
                    <xdr:colOff>47625</xdr:colOff>
                    <xdr:row>39</xdr:row>
                    <xdr:rowOff>38100</xdr:rowOff>
                  </from>
                  <to>
                    <xdr:col>33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649" name="Check Box 648">
              <controlPr defaultSize="0" autoFill="0" autoLine="0" autoPict="0">
                <anchor moveWithCells="1">
                  <from>
                    <xdr:col>34</xdr:col>
                    <xdr:colOff>47625</xdr:colOff>
                    <xdr:row>39</xdr:row>
                    <xdr:rowOff>38100</xdr:rowOff>
                  </from>
                  <to>
                    <xdr:col>34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650" name="Check Box 649">
              <controlPr defaultSize="0" autoFill="0" autoLine="0" autoPict="0">
                <anchor moveWithCells="1">
                  <from>
                    <xdr:col>35</xdr:col>
                    <xdr:colOff>47625</xdr:colOff>
                    <xdr:row>39</xdr:row>
                    <xdr:rowOff>38100</xdr:rowOff>
                  </from>
                  <to>
                    <xdr:col>35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651" name="Check Box 650">
              <controlPr defaultSize="0" autoFill="0" autoLine="0" autoPict="0">
                <anchor moveWithCells="1">
                  <from>
                    <xdr:col>36</xdr:col>
                    <xdr:colOff>47625</xdr:colOff>
                    <xdr:row>39</xdr:row>
                    <xdr:rowOff>38100</xdr:rowOff>
                  </from>
                  <to>
                    <xdr:col>36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652" name="Check Box 651">
              <controlPr defaultSize="0" autoFill="0" autoLine="0" autoPict="0">
                <anchor moveWithCells="1">
                  <from>
                    <xdr:col>37</xdr:col>
                    <xdr:colOff>47625</xdr:colOff>
                    <xdr:row>39</xdr:row>
                    <xdr:rowOff>38100</xdr:rowOff>
                  </from>
                  <to>
                    <xdr:col>37</xdr:col>
                    <xdr:colOff>342900</xdr:colOff>
                    <xdr:row>39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653" name="Check Box 652">
              <controlPr defaultSize="0" autoFill="0" autoLine="0" autoPict="0">
                <anchor moveWithCells="1">
                  <from>
                    <xdr:col>7</xdr:col>
                    <xdr:colOff>47625</xdr:colOff>
                    <xdr:row>40</xdr:row>
                    <xdr:rowOff>38100</xdr:rowOff>
                  </from>
                  <to>
                    <xdr:col>7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654" name="Check Box 653">
              <controlPr defaultSize="0" autoFill="0" autoLine="0" autoPict="0">
                <anchor moveWithCells="1">
                  <from>
                    <xdr:col>8</xdr:col>
                    <xdr:colOff>47625</xdr:colOff>
                    <xdr:row>40</xdr:row>
                    <xdr:rowOff>38100</xdr:rowOff>
                  </from>
                  <to>
                    <xdr:col>8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655" name="Check Box 654">
              <controlPr defaultSize="0" autoFill="0" autoLine="0" autoPict="0">
                <anchor moveWithCells="1">
                  <from>
                    <xdr:col>9</xdr:col>
                    <xdr:colOff>47625</xdr:colOff>
                    <xdr:row>40</xdr:row>
                    <xdr:rowOff>38100</xdr:rowOff>
                  </from>
                  <to>
                    <xdr:col>9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656" name="Check Box 655">
              <controlPr defaultSize="0" autoFill="0" autoLine="0" autoPict="0">
                <anchor moveWithCells="1">
                  <from>
                    <xdr:col>10</xdr:col>
                    <xdr:colOff>47625</xdr:colOff>
                    <xdr:row>40</xdr:row>
                    <xdr:rowOff>38100</xdr:rowOff>
                  </from>
                  <to>
                    <xdr:col>10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657" name="Check Box 656">
              <controlPr defaultSize="0" autoFill="0" autoLine="0" autoPict="0">
                <anchor moveWithCells="1">
                  <from>
                    <xdr:col>11</xdr:col>
                    <xdr:colOff>47625</xdr:colOff>
                    <xdr:row>40</xdr:row>
                    <xdr:rowOff>38100</xdr:rowOff>
                  </from>
                  <to>
                    <xdr:col>11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658" name="Check Box 657">
              <controlPr defaultSize="0" autoFill="0" autoLine="0" autoPict="0">
                <anchor moveWithCells="1">
                  <from>
                    <xdr:col>12</xdr:col>
                    <xdr:colOff>47625</xdr:colOff>
                    <xdr:row>40</xdr:row>
                    <xdr:rowOff>38100</xdr:rowOff>
                  </from>
                  <to>
                    <xdr:col>12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659" name="Check Box 658">
              <controlPr defaultSize="0" autoFill="0" autoLine="0" autoPict="0">
                <anchor moveWithCells="1">
                  <from>
                    <xdr:col>13</xdr:col>
                    <xdr:colOff>47625</xdr:colOff>
                    <xdr:row>40</xdr:row>
                    <xdr:rowOff>38100</xdr:rowOff>
                  </from>
                  <to>
                    <xdr:col>13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660" name="Check Box 659">
              <controlPr defaultSize="0" autoFill="0" autoLine="0" autoPict="0">
                <anchor moveWithCells="1">
                  <from>
                    <xdr:col>14</xdr:col>
                    <xdr:colOff>47625</xdr:colOff>
                    <xdr:row>40</xdr:row>
                    <xdr:rowOff>38100</xdr:rowOff>
                  </from>
                  <to>
                    <xdr:col>14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61" name="Check Box 660">
              <controlPr defaultSize="0" autoFill="0" autoLine="0" autoPict="0">
                <anchor moveWithCells="1">
                  <from>
                    <xdr:col>15</xdr:col>
                    <xdr:colOff>47625</xdr:colOff>
                    <xdr:row>40</xdr:row>
                    <xdr:rowOff>38100</xdr:rowOff>
                  </from>
                  <to>
                    <xdr:col>15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62" name="Check Box 661">
              <controlPr defaultSize="0" autoFill="0" autoLine="0" autoPict="0">
                <anchor moveWithCells="1">
                  <from>
                    <xdr:col>16</xdr:col>
                    <xdr:colOff>47625</xdr:colOff>
                    <xdr:row>40</xdr:row>
                    <xdr:rowOff>38100</xdr:rowOff>
                  </from>
                  <to>
                    <xdr:col>16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63" name="Check Box 662">
              <controlPr defaultSize="0" autoFill="0" autoLine="0" autoPict="0">
                <anchor moveWithCells="1">
                  <from>
                    <xdr:col>17</xdr:col>
                    <xdr:colOff>47625</xdr:colOff>
                    <xdr:row>40</xdr:row>
                    <xdr:rowOff>38100</xdr:rowOff>
                  </from>
                  <to>
                    <xdr:col>17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64" name="Check Box 663">
              <controlPr defaultSize="0" autoFill="0" autoLine="0" autoPict="0">
                <anchor moveWithCells="1">
                  <from>
                    <xdr:col>18</xdr:col>
                    <xdr:colOff>47625</xdr:colOff>
                    <xdr:row>40</xdr:row>
                    <xdr:rowOff>38100</xdr:rowOff>
                  </from>
                  <to>
                    <xdr:col>18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665" name="Check Box 664">
              <controlPr defaultSize="0" autoFill="0" autoLine="0" autoPict="0">
                <anchor moveWithCells="1">
                  <from>
                    <xdr:col>19</xdr:col>
                    <xdr:colOff>47625</xdr:colOff>
                    <xdr:row>40</xdr:row>
                    <xdr:rowOff>38100</xdr:rowOff>
                  </from>
                  <to>
                    <xdr:col>19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666" name="Check Box 665">
              <controlPr defaultSize="0" autoFill="0" autoLine="0" autoPict="0">
                <anchor moveWithCells="1">
                  <from>
                    <xdr:col>20</xdr:col>
                    <xdr:colOff>47625</xdr:colOff>
                    <xdr:row>40</xdr:row>
                    <xdr:rowOff>38100</xdr:rowOff>
                  </from>
                  <to>
                    <xdr:col>20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667" name="Check Box 666">
              <controlPr defaultSize="0" autoFill="0" autoLine="0" autoPict="0">
                <anchor moveWithCells="1">
                  <from>
                    <xdr:col>21</xdr:col>
                    <xdr:colOff>47625</xdr:colOff>
                    <xdr:row>40</xdr:row>
                    <xdr:rowOff>38100</xdr:rowOff>
                  </from>
                  <to>
                    <xdr:col>21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668" name="Check Box 667">
              <controlPr defaultSize="0" autoFill="0" autoLine="0" autoPict="0">
                <anchor moveWithCells="1">
                  <from>
                    <xdr:col>22</xdr:col>
                    <xdr:colOff>47625</xdr:colOff>
                    <xdr:row>40</xdr:row>
                    <xdr:rowOff>38100</xdr:rowOff>
                  </from>
                  <to>
                    <xdr:col>22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669" name="Check Box 668">
              <controlPr defaultSize="0" autoFill="0" autoLine="0" autoPict="0">
                <anchor moveWithCells="1">
                  <from>
                    <xdr:col>23</xdr:col>
                    <xdr:colOff>47625</xdr:colOff>
                    <xdr:row>40</xdr:row>
                    <xdr:rowOff>38100</xdr:rowOff>
                  </from>
                  <to>
                    <xdr:col>23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670" name="Check Box 669">
              <controlPr defaultSize="0" autoFill="0" autoLine="0" autoPict="0">
                <anchor moveWithCells="1">
                  <from>
                    <xdr:col>24</xdr:col>
                    <xdr:colOff>47625</xdr:colOff>
                    <xdr:row>40</xdr:row>
                    <xdr:rowOff>38100</xdr:rowOff>
                  </from>
                  <to>
                    <xdr:col>24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671" name="Check Box 670">
              <controlPr defaultSize="0" autoFill="0" autoLine="0" autoPict="0">
                <anchor moveWithCells="1">
                  <from>
                    <xdr:col>25</xdr:col>
                    <xdr:colOff>47625</xdr:colOff>
                    <xdr:row>40</xdr:row>
                    <xdr:rowOff>38100</xdr:rowOff>
                  </from>
                  <to>
                    <xdr:col>25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672" name="Check Box 671">
              <controlPr defaultSize="0" autoFill="0" autoLine="0" autoPict="0">
                <anchor moveWithCells="1">
                  <from>
                    <xdr:col>26</xdr:col>
                    <xdr:colOff>47625</xdr:colOff>
                    <xdr:row>40</xdr:row>
                    <xdr:rowOff>38100</xdr:rowOff>
                  </from>
                  <to>
                    <xdr:col>26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673" name="Check Box 672">
              <controlPr defaultSize="0" autoFill="0" autoLine="0" autoPict="0">
                <anchor moveWithCells="1">
                  <from>
                    <xdr:col>27</xdr:col>
                    <xdr:colOff>47625</xdr:colOff>
                    <xdr:row>40</xdr:row>
                    <xdr:rowOff>38100</xdr:rowOff>
                  </from>
                  <to>
                    <xdr:col>27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674" name="Check Box 673">
              <controlPr defaultSize="0" autoFill="0" autoLine="0" autoPict="0">
                <anchor moveWithCells="1">
                  <from>
                    <xdr:col>28</xdr:col>
                    <xdr:colOff>47625</xdr:colOff>
                    <xdr:row>40</xdr:row>
                    <xdr:rowOff>38100</xdr:rowOff>
                  </from>
                  <to>
                    <xdr:col>28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675" name="Check Box 674">
              <controlPr defaultSize="0" autoFill="0" autoLine="0" autoPict="0">
                <anchor moveWithCells="1">
                  <from>
                    <xdr:col>29</xdr:col>
                    <xdr:colOff>47625</xdr:colOff>
                    <xdr:row>40</xdr:row>
                    <xdr:rowOff>38100</xdr:rowOff>
                  </from>
                  <to>
                    <xdr:col>29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76" name="Check Box 675">
              <controlPr defaultSize="0" autoFill="0" autoLine="0" autoPict="0">
                <anchor moveWithCells="1">
                  <from>
                    <xdr:col>30</xdr:col>
                    <xdr:colOff>47625</xdr:colOff>
                    <xdr:row>40</xdr:row>
                    <xdr:rowOff>38100</xdr:rowOff>
                  </from>
                  <to>
                    <xdr:col>30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77" name="Check Box 676">
              <controlPr defaultSize="0" autoFill="0" autoLine="0" autoPict="0">
                <anchor moveWithCells="1">
                  <from>
                    <xdr:col>31</xdr:col>
                    <xdr:colOff>47625</xdr:colOff>
                    <xdr:row>40</xdr:row>
                    <xdr:rowOff>38100</xdr:rowOff>
                  </from>
                  <to>
                    <xdr:col>31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78" name="Check Box 677">
              <controlPr defaultSize="0" autoFill="0" autoLine="0" autoPict="0">
                <anchor moveWithCells="1">
                  <from>
                    <xdr:col>32</xdr:col>
                    <xdr:colOff>47625</xdr:colOff>
                    <xdr:row>40</xdr:row>
                    <xdr:rowOff>38100</xdr:rowOff>
                  </from>
                  <to>
                    <xdr:col>32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79" name="Check Box 678">
              <controlPr defaultSize="0" autoFill="0" autoLine="0" autoPict="0">
                <anchor moveWithCells="1">
                  <from>
                    <xdr:col>33</xdr:col>
                    <xdr:colOff>47625</xdr:colOff>
                    <xdr:row>40</xdr:row>
                    <xdr:rowOff>38100</xdr:rowOff>
                  </from>
                  <to>
                    <xdr:col>33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80" name="Check Box 679">
              <controlPr defaultSize="0" autoFill="0" autoLine="0" autoPict="0">
                <anchor moveWithCells="1">
                  <from>
                    <xdr:col>34</xdr:col>
                    <xdr:colOff>47625</xdr:colOff>
                    <xdr:row>40</xdr:row>
                    <xdr:rowOff>38100</xdr:rowOff>
                  </from>
                  <to>
                    <xdr:col>34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81" name="Check Box 680">
              <controlPr defaultSize="0" autoFill="0" autoLine="0" autoPict="0">
                <anchor moveWithCells="1">
                  <from>
                    <xdr:col>35</xdr:col>
                    <xdr:colOff>47625</xdr:colOff>
                    <xdr:row>40</xdr:row>
                    <xdr:rowOff>38100</xdr:rowOff>
                  </from>
                  <to>
                    <xdr:col>35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82" name="Check Box 681">
              <controlPr defaultSize="0" autoFill="0" autoLine="0" autoPict="0">
                <anchor moveWithCells="1">
                  <from>
                    <xdr:col>36</xdr:col>
                    <xdr:colOff>47625</xdr:colOff>
                    <xdr:row>40</xdr:row>
                    <xdr:rowOff>38100</xdr:rowOff>
                  </from>
                  <to>
                    <xdr:col>36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83" name="Check Box 682">
              <controlPr defaultSize="0" autoFill="0" autoLine="0" autoPict="0">
                <anchor moveWithCells="1">
                  <from>
                    <xdr:col>37</xdr:col>
                    <xdr:colOff>47625</xdr:colOff>
                    <xdr:row>40</xdr:row>
                    <xdr:rowOff>38100</xdr:rowOff>
                  </from>
                  <to>
                    <xdr:col>37</xdr:col>
                    <xdr:colOff>342900</xdr:colOff>
                    <xdr:row>40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84" name="Check Box 683">
              <controlPr defaultSize="0" autoFill="0" autoLine="0" autoPict="0">
                <anchor moveWithCells="1">
                  <from>
                    <xdr:col>7</xdr:col>
                    <xdr:colOff>47625</xdr:colOff>
                    <xdr:row>41</xdr:row>
                    <xdr:rowOff>38100</xdr:rowOff>
                  </from>
                  <to>
                    <xdr:col>7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85" name="Check Box 684">
              <controlPr defaultSize="0" autoFill="0" autoLine="0" autoPict="0">
                <anchor moveWithCells="1">
                  <from>
                    <xdr:col>8</xdr:col>
                    <xdr:colOff>47625</xdr:colOff>
                    <xdr:row>41</xdr:row>
                    <xdr:rowOff>38100</xdr:rowOff>
                  </from>
                  <to>
                    <xdr:col>8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86" name="Check Box 685">
              <controlPr defaultSize="0" autoFill="0" autoLine="0" autoPict="0">
                <anchor moveWithCells="1">
                  <from>
                    <xdr:col>9</xdr:col>
                    <xdr:colOff>47625</xdr:colOff>
                    <xdr:row>41</xdr:row>
                    <xdr:rowOff>38100</xdr:rowOff>
                  </from>
                  <to>
                    <xdr:col>9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87" name="Check Box 686">
              <controlPr defaultSize="0" autoFill="0" autoLine="0" autoPict="0">
                <anchor moveWithCells="1">
                  <from>
                    <xdr:col>10</xdr:col>
                    <xdr:colOff>47625</xdr:colOff>
                    <xdr:row>41</xdr:row>
                    <xdr:rowOff>38100</xdr:rowOff>
                  </from>
                  <to>
                    <xdr:col>10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88" name="Check Box 687">
              <controlPr defaultSize="0" autoFill="0" autoLine="0" autoPict="0">
                <anchor moveWithCells="1">
                  <from>
                    <xdr:col>11</xdr:col>
                    <xdr:colOff>47625</xdr:colOff>
                    <xdr:row>41</xdr:row>
                    <xdr:rowOff>38100</xdr:rowOff>
                  </from>
                  <to>
                    <xdr:col>11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89" name="Check Box 688">
              <controlPr defaultSize="0" autoFill="0" autoLine="0" autoPict="0">
                <anchor moveWithCells="1">
                  <from>
                    <xdr:col>12</xdr:col>
                    <xdr:colOff>47625</xdr:colOff>
                    <xdr:row>41</xdr:row>
                    <xdr:rowOff>38100</xdr:rowOff>
                  </from>
                  <to>
                    <xdr:col>12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90" name="Check Box 689">
              <controlPr defaultSize="0" autoFill="0" autoLine="0" autoPict="0">
                <anchor moveWithCells="1">
                  <from>
                    <xdr:col>13</xdr:col>
                    <xdr:colOff>47625</xdr:colOff>
                    <xdr:row>41</xdr:row>
                    <xdr:rowOff>38100</xdr:rowOff>
                  </from>
                  <to>
                    <xdr:col>13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91" name="Check Box 690">
              <controlPr defaultSize="0" autoFill="0" autoLine="0" autoPict="0">
                <anchor moveWithCells="1">
                  <from>
                    <xdr:col>14</xdr:col>
                    <xdr:colOff>47625</xdr:colOff>
                    <xdr:row>41</xdr:row>
                    <xdr:rowOff>38100</xdr:rowOff>
                  </from>
                  <to>
                    <xdr:col>14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92" name="Check Box 691">
              <controlPr defaultSize="0" autoFill="0" autoLine="0" autoPict="0">
                <anchor moveWithCells="1">
                  <from>
                    <xdr:col>15</xdr:col>
                    <xdr:colOff>47625</xdr:colOff>
                    <xdr:row>41</xdr:row>
                    <xdr:rowOff>38100</xdr:rowOff>
                  </from>
                  <to>
                    <xdr:col>15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93" name="Check Box 692">
              <controlPr defaultSize="0" autoFill="0" autoLine="0" autoPict="0">
                <anchor moveWithCells="1">
                  <from>
                    <xdr:col>16</xdr:col>
                    <xdr:colOff>47625</xdr:colOff>
                    <xdr:row>41</xdr:row>
                    <xdr:rowOff>38100</xdr:rowOff>
                  </from>
                  <to>
                    <xdr:col>16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94" name="Check Box 693">
              <controlPr defaultSize="0" autoFill="0" autoLine="0" autoPict="0">
                <anchor moveWithCells="1">
                  <from>
                    <xdr:col>17</xdr:col>
                    <xdr:colOff>47625</xdr:colOff>
                    <xdr:row>41</xdr:row>
                    <xdr:rowOff>38100</xdr:rowOff>
                  </from>
                  <to>
                    <xdr:col>17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95" name="Check Box 694">
              <controlPr defaultSize="0" autoFill="0" autoLine="0" autoPict="0">
                <anchor moveWithCells="1">
                  <from>
                    <xdr:col>18</xdr:col>
                    <xdr:colOff>47625</xdr:colOff>
                    <xdr:row>41</xdr:row>
                    <xdr:rowOff>38100</xdr:rowOff>
                  </from>
                  <to>
                    <xdr:col>18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96" name="Check Box 695">
              <controlPr defaultSize="0" autoFill="0" autoLine="0" autoPict="0">
                <anchor moveWithCells="1">
                  <from>
                    <xdr:col>19</xdr:col>
                    <xdr:colOff>47625</xdr:colOff>
                    <xdr:row>41</xdr:row>
                    <xdr:rowOff>38100</xdr:rowOff>
                  </from>
                  <to>
                    <xdr:col>19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97" name="Check Box 696">
              <controlPr defaultSize="0" autoFill="0" autoLine="0" autoPict="0">
                <anchor moveWithCells="1">
                  <from>
                    <xdr:col>20</xdr:col>
                    <xdr:colOff>47625</xdr:colOff>
                    <xdr:row>41</xdr:row>
                    <xdr:rowOff>38100</xdr:rowOff>
                  </from>
                  <to>
                    <xdr:col>20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698" name="Check Box 697">
              <controlPr defaultSize="0" autoFill="0" autoLine="0" autoPict="0">
                <anchor moveWithCells="1">
                  <from>
                    <xdr:col>21</xdr:col>
                    <xdr:colOff>47625</xdr:colOff>
                    <xdr:row>41</xdr:row>
                    <xdr:rowOff>38100</xdr:rowOff>
                  </from>
                  <to>
                    <xdr:col>21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699" name="Check Box 698">
              <controlPr defaultSize="0" autoFill="0" autoLine="0" autoPict="0">
                <anchor moveWithCells="1">
                  <from>
                    <xdr:col>22</xdr:col>
                    <xdr:colOff>47625</xdr:colOff>
                    <xdr:row>41</xdr:row>
                    <xdr:rowOff>38100</xdr:rowOff>
                  </from>
                  <to>
                    <xdr:col>22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700" name="Check Box 699">
              <controlPr defaultSize="0" autoFill="0" autoLine="0" autoPict="0">
                <anchor moveWithCells="1">
                  <from>
                    <xdr:col>23</xdr:col>
                    <xdr:colOff>47625</xdr:colOff>
                    <xdr:row>41</xdr:row>
                    <xdr:rowOff>38100</xdr:rowOff>
                  </from>
                  <to>
                    <xdr:col>23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701" name="Check Box 700">
              <controlPr defaultSize="0" autoFill="0" autoLine="0" autoPict="0">
                <anchor moveWithCells="1">
                  <from>
                    <xdr:col>24</xdr:col>
                    <xdr:colOff>47625</xdr:colOff>
                    <xdr:row>41</xdr:row>
                    <xdr:rowOff>38100</xdr:rowOff>
                  </from>
                  <to>
                    <xdr:col>24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702" name="Check Box 701">
              <controlPr defaultSize="0" autoFill="0" autoLine="0" autoPict="0">
                <anchor moveWithCells="1">
                  <from>
                    <xdr:col>25</xdr:col>
                    <xdr:colOff>47625</xdr:colOff>
                    <xdr:row>41</xdr:row>
                    <xdr:rowOff>38100</xdr:rowOff>
                  </from>
                  <to>
                    <xdr:col>25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703" name="Check Box 702">
              <controlPr defaultSize="0" autoFill="0" autoLine="0" autoPict="0">
                <anchor moveWithCells="1">
                  <from>
                    <xdr:col>26</xdr:col>
                    <xdr:colOff>47625</xdr:colOff>
                    <xdr:row>41</xdr:row>
                    <xdr:rowOff>38100</xdr:rowOff>
                  </from>
                  <to>
                    <xdr:col>26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704" name="Check Box 703">
              <controlPr defaultSize="0" autoFill="0" autoLine="0" autoPict="0">
                <anchor moveWithCells="1">
                  <from>
                    <xdr:col>27</xdr:col>
                    <xdr:colOff>47625</xdr:colOff>
                    <xdr:row>41</xdr:row>
                    <xdr:rowOff>38100</xdr:rowOff>
                  </from>
                  <to>
                    <xdr:col>27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705" name="Check Box 704">
              <controlPr defaultSize="0" autoFill="0" autoLine="0" autoPict="0">
                <anchor moveWithCells="1">
                  <from>
                    <xdr:col>28</xdr:col>
                    <xdr:colOff>47625</xdr:colOff>
                    <xdr:row>41</xdr:row>
                    <xdr:rowOff>38100</xdr:rowOff>
                  </from>
                  <to>
                    <xdr:col>28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706" name="Check Box 705">
              <controlPr defaultSize="0" autoFill="0" autoLine="0" autoPict="0">
                <anchor moveWithCells="1">
                  <from>
                    <xdr:col>29</xdr:col>
                    <xdr:colOff>47625</xdr:colOff>
                    <xdr:row>41</xdr:row>
                    <xdr:rowOff>38100</xdr:rowOff>
                  </from>
                  <to>
                    <xdr:col>29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707" name="Check Box 706">
              <controlPr defaultSize="0" autoFill="0" autoLine="0" autoPict="0">
                <anchor moveWithCells="1">
                  <from>
                    <xdr:col>30</xdr:col>
                    <xdr:colOff>47625</xdr:colOff>
                    <xdr:row>41</xdr:row>
                    <xdr:rowOff>38100</xdr:rowOff>
                  </from>
                  <to>
                    <xdr:col>30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708" name="Check Box 707">
              <controlPr defaultSize="0" autoFill="0" autoLine="0" autoPict="0">
                <anchor moveWithCells="1">
                  <from>
                    <xdr:col>31</xdr:col>
                    <xdr:colOff>47625</xdr:colOff>
                    <xdr:row>41</xdr:row>
                    <xdr:rowOff>38100</xdr:rowOff>
                  </from>
                  <to>
                    <xdr:col>31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709" name="Check Box 708">
              <controlPr defaultSize="0" autoFill="0" autoLine="0" autoPict="0">
                <anchor moveWithCells="1">
                  <from>
                    <xdr:col>32</xdr:col>
                    <xdr:colOff>47625</xdr:colOff>
                    <xdr:row>41</xdr:row>
                    <xdr:rowOff>38100</xdr:rowOff>
                  </from>
                  <to>
                    <xdr:col>32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710" name="Check Box 709">
              <controlPr defaultSize="0" autoFill="0" autoLine="0" autoPict="0">
                <anchor moveWithCells="1">
                  <from>
                    <xdr:col>33</xdr:col>
                    <xdr:colOff>47625</xdr:colOff>
                    <xdr:row>41</xdr:row>
                    <xdr:rowOff>38100</xdr:rowOff>
                  </from>
                  <to>
                    <xdr:col>33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711" name="Check Box 710">
              <controlPr defaultSize="0" autoFill="0" autoLine="0" autoPict="0">
                <anchor moveWithCells="1">
                  <from>
                    <xdr:col>34</xdr:col>
                    <xdr:colOff>47625</xdr:colOff>
                    <xdr:row>41</xdr:row>
                    <xdr:rowOff>38100</xdr:rowOff>
                  </from>
                  <to>
                    <xdr:col>34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712" name="Check Box 711">
              <controlPr defaultSize="0" autoFill="0" autoLine="0" autoPict="0">
                <anchor moveWithCells="1">
                  <from>
                    <xdr:col>35</xdr:col>
                    <xdr:colOff>47625</xdr:colOff>
                    <xdr:row>41</xdr:row>
                    <xdr:rowOff>38100</xdr:rowOff>
                  </from>
                  <to>
                    <xdr:col>35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713" name="Check Box 712">
              <controlPr defaultSize="0" autoFill="0" autoLine="0" autoPict="0">
                <anchor moveWithCells="1">
                  <from>
                    <xdr:col>36</xdr:col>
                    <xdr:colOff>47625</xdr:colOff>
                    <xdr:row>41</xdr:row>
                    <xdr:rowOff>38100</xdr:rowOff>
                  </from>
                  <to>
                    <xdr:col>36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714" name="Check Box 713">
              <controlPr defaultSize="0" autoFill="0" autoLine="0" autoPict="0">
                <anchor moveWithCells="1">
                  <from>
                    <xdr:col>37</xdr:col>
                    <xdr:colOff>47625</xdr:colOff>
                    <xdr:row>41</xdr:row>
                    <xdr:rowOff>38100</xdr:rowOff>
                  </from>
                  <to>
                    <xdr:col>37</xdr:col>
                    <xdr:colOff>342900</xdr:colOff>
                    <xdr:row>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715" name="Check Box 714">
              <controlPr defaultSize="0" autoFill="0" autoLine="0" autoPict="0">
                <anchor moveWithCells="1">
                  <from>
                    <xdr:col>7</xdr:col>
                    <xdr:colOff>47625</xdr:colOff>
                    <xdr:row>42</xdr:row>
                    <xdr:rowOff>38100</xdr:rowOff>
                  </from>
                  <to>
                    <xdr:col>7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716" name="Check Box 715">
              <controlPr defaultSize="0" autoFill="0" autoLine="0" autoPict="0">
                <anchor moveWithCells="1">
                  <from>
                    <xdr:col>8</xdr:col>
                    <xdr:colOff>47625</xdr:colOff>
                    <xdr:row>42</xdr:row>
                    <xdr:rowOff>38100</xdr:rowOff>
                  </from>
                  <to>
                    <xdr:col>8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717" name="Check Box 716">
              <controlPr defaultSize="0" autoFill="0" autoLine="0" autoPict="0">
                <anchor moveWithCells="1">
                  <from>
                    <xdr:col>9</xdr:col>
                    <xdr:colOff>47625</xdr:colOff>
                    <xdr:row>42</xdr:row>
                    <xdr:rowOff>38100</xdr:rowOff>
                  </from>
                  <to>
                    <xdr:col>9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718" name="Check Box 717">
              <controlPr defaultSize="0" autoFill="0" autoLine="0" autoPict="0">
                <anchor moveWithCells="1">
                  <from>
                    <xdr:col>10</xdr:col>
                    <xdr:colOff>47625</xdr:colOff>
                    <xdr:row>42</xdr:row>
                    <xdr:rowOff>38100</xdr:rowOff>
                  </from>
                  <to>
                    <xdr:col>10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719" name="Check Box 718">
              <controlPr defaultSize="0" autoFill="0" autoLine="0" autoPict="0">
                <anchor moveWithCells="1">
                  <from>
                    <xdr:col>11</xdr:col>
                    <xdr:colOff>47625</xdr:colOff>
                    <xdr:row>42</xdr:row>
                    <xdr:rowOff>38100</xdr:rowOff>
                  </from>
                  <to>
                    <xdr:col>11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720" name="Check Box 719">
              <controlPr defaultSize="0" autoFill="0" autoLine="0" autoPict="0">
                <anchor moveWithCells="1">
                  <from>
                    <xdr:col>12</xdr:col>
                    <xdr:colOff>47625</xdr:colOff>
                    <xdr:row>42</xdr:row>
                    <xdr:rowOff>38100</xdr:rowOff>
                  </from>
                  <to>
                    <xdr:col>12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721" name="Check Box 720">
              <controlPr defaultSize="0" autoFill="0" autoLine="0" autoPict="0">
                <anchor moveWithCells="1">
                  <from>
                    <xdr:col>13</xdr:col>
                    <xdr:colOff>47625</xdr:colOff>
                    <xdr:row>42</xdr:row>
                    <xdr:rowOff>38100</xdr:rowOff>
                  </from>
                  <to>
                    <xdr:col>13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722" name="Check Box 721">
              <controlPr defaultSize="0" autoFill="0" autoLine="0" autoPict="0">
                <anchor moveWithCells="1">
                  <from>
                    <xdr:col>14</xdr:col>
                    <xdr:colOff>47625</xdr:colOff>
                    <xdr:row>42</xdr:row>
                    <xdr:rowOff>38100</xdr:rowOff>
                  </from>
                  <to>
                    <xdr:col>14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723" name="Check Box 722">
              <controlPr defaultSize="0" autoFill="0" autoLine="0" autoPict="0">
                <anchor moveWithCells="1">
                  <from>
                    <xdr:col>15</xdr:col>
                    <xdr:colOff>47625</xdr:colOff>
                    <xdr:row>42</xdr:row>
                    <xdr:rowOff>38100</xdr:rowOff>
                  </from>
                  <to>
                    <xdr:col>15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724" name="Check Box 723">
              <controlPr defaultSize="0" autoFill="0" autoLine="0" autoPict="0">
                <anchor moveWithCells="1">
                  <from>
                    <xdr:col>16</xdr:col>
                    <xdr:colOff>47625</xdr:colOff>
                    <xdr:row>42</xdr:row>
                    <xdr:rowOff>38100</xdr:rowOff>
                  </from>
                  <to>
                    <xdr:col>16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725" name="Check Box 724">
              <controlPr defaultSize="0" autoFill="0" autoLine="0" autoPict="0">
                <anchor moveWithCells="1">
                  <from>
                    <xdr:col>17</xdr:col>
                    <xdr:colOff>47625</xdr:colOff>
                    <xdr:row>42</xdr:row>
                    <xdr:rowOff>38100</xdr:rowOff>
                  </from>
                  <to>
                    <xdr:col>17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726" name="Check Box 725">
              <controlPr defaultSize="0" autoFill="0" autoLine="0" autoPict="0">
                <anchor moveWithCells="1">
                  <from>
                    <xdr:col>18</xdr:col>
                    <xdr:colOff>47625</xdr:colOff>
                    <xdr:row>42</xdr:row>
                    <xdr:rowOff>38100</xdr:rowOff>
                  </from>
                  <to>
                    <xdr:col>18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727" name="Check Box 726">
              <controlPr defaultSize="0" autoFill="0" autoLine="0" autoPict="0">
                <anchor moveWithCells="1">
                  <from>
                    <xdr:col>19</xdr:col>
                    <xdr:colOff>47625</xdr:colOff>
                    <xdr:row>42</xdr:row>
                    <xdr:rowOff>38100</xdr:rowOff>
                  </from>
                  <to>
                    <xdr:col>19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728" name="Check Box 727">
              <controlPr defaultSize="0" autoFill="0" autoLine="0" autoPict="0">
                <anchor moveWithCells="1">
                  <from>
                    <xdr:col>20</xdr:col>
                    <xdr:colOff>47625</xdr:colOff>
                    <xdr:row>42</xdr:row>
                    <xdr:rowOff>38100</xdr:rowOff>
                  </from>
                  <to>
                    <xdr:col>20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729" name="Check Box 728">
              <controlPr defaultSize="0" autoFill="0" autoLine="0" autoPict="0">
                <anchor moveWithCells="1">
                  <from>
                    <xdr:col>21</xdr:col>
                    <xdr:colOff>47625</xdr:colOff>
                    <xdr:row>42</xdr:row>
                    <xdr:rowOff>38100</xdr:rowOff>
                  </from>
                  <to>
                    <xdr:col>21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730" name="Check Box 729">
              <controlPr defaultSize="0" autoFill="0" autoLine="0" autoPict="0">
                <anchor moveWithCells="1">
                  <from>
                    <xdr:col>22</xdr:col>
                    <xdr:colOff>47625</xdr:colOff>
                    <xdr:row>42</xdr:row>
                    <xdr:rowOff>38100</xdr:rowOff>
                  </from>
                  <to>
                    <xdr:col>22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731" name="Check Box 730">
              <controlPr defaultSize="0" autoFill="0" autoLine="0" autoPict="0">
                <anchor moveWithCells="1">
                  <from>
                    <xdr:col>23</xdr:col>
                    <xdr:colOff>47625</xdr:colOff>
                    <xdr:row>42</xdr:row>
                    <xdr:rowOff>38100</xdr:rowOff>
                  </from>
                  <to>
                    <xdr:col>23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732" name="Check Box 731">
              <controlPr defaultSize="0" autoFill="0" autoLine="0" autoPict="0">
                <anchor moveWithCells="1">
                  <from>
                    <xdr:col>24</xdr:col>
                    <xdr:colOff>47625</xdr:colOff>
                    <xdr:row>42</xdr:row>
                    <xdr:rowOff>38100</xdr:rowOff>
                  </from>
                  <to>
                    <xdr:col>24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733" name="Check Box 732">
              <controlPr defaultSize="0" autoFill="0" autoLine="0" autoPict="0">
                <anchor moveWithCells="1">
                  <from>
                    <xdr:col>25</xdr:col>
                    <xdr:colOff>47625</xdr:colOff>
                    <xdr:row>42</xdr:row>
                    <xdr:rowOff>38100</xdr:rowOff>
                  </from>
                  <to>
                    <xdr:col>25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734" name="Check Box 733">
              <controlPr defaultSize="0" autoFill="0" autoLine="0" autoPict="0">
                <anchor moveWithCells="1">
                  <from>
                    <xdr:col>26</xdr:col>
                    <xdr:colOff>47625</xdr:colOff>
                    <xdr:row>42</xdr:row>
                    <xdr:rowOff>38100</xdr:rowOff>
                  </from>
                  <to>
                    <xdr:col>26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735" name="Check Box 734">
              <controlPr defaultSize="0" autoFill="0" autoLine="0" autoPict="0">
                <anchor moveWithCells="1">
                  <from>
                    <xdr:col>27</xdr:col>
                    <xdr:colOff>47625</xdr:colOff>
                    <xdr:row>42</xdr:row>
                    <xdr:rowOff>38100</xdr:rowOff>
                  </from>
                  <to>
                    <xdr:col>27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736" name="Check Box 735">
              <controlPr defaultSize="0" autoFill="0" autoLine="0" autoPict="0">
                <anchor moveWithCells="1">
                  <from>
                    <xdr:col>28</xdr:col>
                    <xdr:colOff>47625</xdr:colOff>
                    <xdr:row>42</xdr:row>
                    <xdr:rowOff>38100</xdr:rowOff>
                  </from>
                  <to>
                    <xdr:col>28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737" name="Check Box 736">
              <controlPr defaultSize="0" autoFill="0" autoLine="0" autoPict="0">
                <anchor moveWithCells="1">
                  <from>
                    <xdr:col>29</xdr:col>
                    <xdr:colOff>47625</xdr:colOff>
                    <xdr:row>42</xdr:row>
                    <xdr:rowOff>38100</xdr:rowOff>
                  </from>
                  <to>
                    <xdr:col>29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738" name="Check Box 737">
              <controlPr defaultSize="0" autoFill="0" autoLine="0" autoPict="0">
                <anchor moveWithCells="1">
                  <from>
                    <xdr:col>30</xdr:col>
                    <xdr:colOff>47625</xdr:colOff>
                    <xdr:row>42</xdr:row>
                    <xdr:rowOff>38100</xdr:rowOff>
                  </from>
                  <to>
                    <xdr:col>30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739" name="Check Box 738">
              <controlPr defaultSize="0" autoFill="0" autoLine="0" autoPict="0">
                <anchor moveWithCells="1">
                  <from>
                    <xdr:col>31</xdr:col>
                    <xdr:colOff>47625</xdr:colOff>
                    <xdr:row>42</xdr:row>
                    <xdr:rowOff>38100</xdr:rowOff>
                  </from>
                  <to>
                    <xdr:col>31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740" name="Check Box 739">
              <controlPr defaultSize="0" autoFill="0" autoLine="0" autoPict="0">
                <anchor moveWithCells="1">
                  <from>
                    <xdr:col>32</xdr:col>
                    <xdr:colOff>47625</xdr:colOff>
                    <xdr:row>42</xdr:row>
                    <xdr:rowOff>38100</xdr:rowOff>
                  </from>
                  <to>
                    <xdr:col>32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741" name="Check Box 740">
              <controlPr defaultSize="0" autoFill="0" autoLine="0" autoPict="0">
                <anchor moveWithCells="1">
                  <from>
                    <xdr:col>33</xdr:col>
                    <xdr:colOff>47625</xdr:colOff>
                    <xdr:row>42</xdr:row>
                    <xdr:rowOff>38100</xdr:rowOff>
                  </from>
                  <to>
                    <xdr:col>33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742" name="Check Box 741">
              <controlPr defaultSize="0" autoFill="0" autoLine="0" autoPict="0">
                <anchor moveWithCells="1">
                  <from>
                    <xdr:col>34</xdr:col>
                    <xdr:colOff>47625</xdr:colOff>
                    <xdr:row>42</xdr:row>
                    <xdr:rowOff>38100</xdr:rowOff>
                  </from>
                  <to>
                    <xdr:col>34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743" name="Check Box 742">
              <controlPr defaultSize="0" autoFill="0" autoLine="0" autoPict="0">
                <anchor moveWithCells="1">
                  <from>
                    <xdr:col>35</xdr:col>
                    <xdr:colOff>47625</xdr:colOff>
                    <xdr:row>42</xdr:row>
                    <xdr:rowOff>38100</xdr:rowOff>
                  </from>
                  <to>
                    <xdr:col>35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744" name="Check Box 743">
              <controlPr defaultSize="0" autoFill="0" autoLine="0" autoPict="0">
                <anchor moveWithCells="1">
                  <from>
                    <xdr:col>36</xdr:col>
                    <xdr:colOff>47625</xdr:colOff>
                    <xdr:row>42</xdr:row>
                    <xdr:rowOff>38100</xdr:rowOff>
                  </from>
                  <to>
                    <xdr:col>36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745" name="Check Box 744">
              <controlPr defaultSize="0" autoFill="0" autoLine="0" autoPict="0">
                <anchor moveWithCells="1">
                  <from>
                    <xdr:col>37</xdr:col>
                    <xdr:colOff>47625</xdr:colOff>
                    <xdr:row>42</xdr:row>
                    <xdr:rowOff>38100</xdr:rowOff>
                  </from>
                  <to>
                    <xdr:col>37</xdr:col>
                    <xdr:colOff>342900</xdr:colOff>
                    <xdr:row>42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746" name="Check Box 745">
              <controlPr defaultSize="0" autoFill="0" autoLine="0" autoPict="0">
                <anchor moveWithCells="1">
                  <from>
                    <xdr:col>7</xdr:col>
                    <xdr:colOff>47625</xdr:colOff>
                    <xdr:row>43</xdr:row>
                    <xdr:rowOff>38100</xdr:rowOff>
                  </from>
                  <to>
                    <xdr:col>7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747" name="Check Box 746">
              <controlPr defaultSize="0" autoFill="0" autoLine="0" autoPict="0">
                <anchor moveWithCells="1">
                  <from>
                    <xdr:col>8</xdr:col>
                    <xdr:colOff>47625</xdr:colOff>
                    <xdr:row>43</xdr:row>
                    <xdr:rowOff>38100</xdr:rowOff>
                  </from>
                  <to>
                    <xdr:col>8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748" name="Check Box 747">
              <controlPr defaultSize="0" autoFill="0" autoLine="0" autoPict="0">
                <anchor moveWithCells="1">
                  <from>
                    <xdr:col>9</xdr:col>
                    <xdr:colOff>47625</xdr:colOff>
                    <xdr:row>43</xdr:row>
                    <xdr:rowOff>38100</xdr:rowOff>
                  </from>
                  <to>
                    <xdr:col>9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749" name="Check Box 748">
              <controlPr defaultSize="0" autoFill="0" autoLine="0" autoPict="0">
                <anchor moveWithCells="1">
                  <from>
                    <xdr:col>10</xdr:col>
                    <xdr:colOff>47625</xdr:colOff>
                    <xdr:row>43</xdr:row>
                    <xdr:rowOff>38100</xdr:rowOff>
                  </from>
                  <to>
                    <xdr:col>10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750" name="Check Box 749">
              <controlPr defaultSize="0" autoFill="0" autoLine="0" autoPict="0">
                <anchor moveWithCells="1">
                  <from>
                    <xdr:col>11</xdr:col>
                    <xdr:colOff>47625</xdr:colOff>
                    <xdr:row>43</xdr:row>
                    <xdr:rowOff>38100</xdr:rowOff>
                  </from>
                  <to>
                    <xdr:col>11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751" name="Check Box 750">
              <controlPr defaultSize="0" autoFill="0" autoLine="0" autoPict="0">
                <anchor moveWithCells="1">
                  <from>
                    <xdr:col>12</xdr:col>
                    <xdr:colOff>47625</xdr:colOff>
                    <xdr:row>43</xdr:row>
                    <xdr:rowOff>38100</xdr:rowOff>
                  </from>
                  <to>
                    <xdr:col>12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752" name="Check Box 751">
              <controlPr defaultSize="0" autoFill="0" autoLine="0" autoPict="0">
                <anchor moveWithCells="1">
                  <from>
                    <xdr:col>13</xdr:col>
                    <xdr:colOff>47625</xdr:colOff>
                    <xdr:row>43</xdr:row>
                    <xdr:rowOff>38100</xdr:rowOff>
                  </from>
                  <to>
                    <xdr:col>13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753" name="Check Box 752">
              <controlPr defaultSize="0" autoFill="0" autoLine="0" autoPict="0">
                <anchor moveWithCells="1">
                  <from>
                    <xdr:col>14</xdr:col>
                    <xdr:colOff>47625</xdr:colOff>
                    <xdr:row>43</xdr:row>
                    <xdr:rowOff>38100</xdr:rowOff>
                  </from>
                  <to>
                    <xdr:col>14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54" name="Check Box 753">
              <controlPr defaultSize="0" autoFill="0" autoLine="0" autoPict="0">
                <anchor moveWithCells="1">
                  <from>
                    <xdr:col>15</xdr:col>
                    <xdr:colOff>47625</xdr:colOff>
                    <xdr:row>43</xdr:row>
                    <xdr:rowOff>38100</xdr:rowOff>
                  </from>
                  <to>
                    <xdr:col>15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55" name="Check Box 754">
              <controlPr defaultSize="0" autoFill="0" autoLine="0" autoPict="0">
                <anchor moveWithCells="1">
                  <from>
                    <xdr:col>16</xdr:col>
                    <xdr:colOff>47625</xdr:colOff>
                    <xdr:row>43</xdr:row>
                    <xdr:rowOff>38100</xdr:rowOff>
                  </from>
                  <to>
                    <xdr:col>16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56" name="Check Box 755">
              <controlPr defaultSize="0" autoFill="0" autoLine="0" autoPict="0">
                <anchor moveWithCells="1">
                  <from>
                    <xdr:col>17</xdr:col>
                    <xdr:colOff>47625</xdr:colOff>
                    <xdr:row>43</xdr:row>
                    <xdr:rowOff>38100</xdr:rowOff>
                  </from>
                  <to>
                    <xdr:col>17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57" name="Check Box 756">
              <controlPr defaultSize="0" autoFill="0" autoLine="0" autoPict="0">
                <anchor moveWithCells="1">
                  <from>
                    <xdr:col>18</xdr:col>
                    <xdr:colOff>47625</xdr:colOff>
                    <xdr:row>43</xdr:row>
                    <xdr:rowOff>38100</xdr:rowOff>
                  </from>
                  <to>
                    <xdr:col>18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58" name="Check Box 757">
              <controlPr defaultSize="0" autoFill="0" autoLine="0" autoPict="0">
                <anchor moveWithCells="1">
                  <from>
                    <xdr:col>19</xdr:col>
                    <xdr:colOff>47625</xdr:colOff>
                    <xdr:row>43</xdr:row>
                    <xdr:rowOff>38100</xdr:rowOff>
                  </from>
                  <to>
                    <xdr:col>19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59" name="Check Box 758">
              <controlPr defaultSize="0" autoFill="0" autoLine="0" autoPict="0">
                <anchor moveWithCells="1">
                  <from>
                    <xdr:col>20</xdr:col>
                    <xdr:colOff>47625</xdr:colOff>
                    <xdr:row>43</xdr:row>
                    <xdr:rowOff>38100</xdr:rowOff>
                  </from>
                  <to>
                    <xdr:col>20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60" name="Check Box 759">
              <controlPr defaultSize="0" autoFill="0" autoLine="0" autoPict="0">
                <anchor moveWithCells="1">
                  <from>
                    <xdr:col>21</xdr:col>
                    <xdr:colOff>47625</xdr:colOff>
                    <xdr:row>43</xdr:row>
                    <xdr:rowOff>38100</xdr:rowOff>
                  </from>
                  <to>
                    <xdr:col>21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61" name="Check Box 760">
              <controlPr defaultSize="0" autoFill="0" autoLine="0" autoPict="0">
                <anchor moveWithCells="1">
                  <from>
                    <xdr:col>22</xdr:col>
                    <xdr:colOff>47625</xdr:colOff>
                    <xdr:row>43</xdr:row>
                    <xdr:rowOff>38100</xdr:rowOff>
                  </from>
                  <to>
                    <xdr:col>22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62" name="Check Box 761">
              <controlPr defaultSize="0" autoFill="0" autoLine="0" autoPict="0">
                <anchor moveWithCells="1">
                  <from>
                    <xdr:col>23</xdr:col>
                    <xdr:colOff>47625</xdr:colOff>
                    <xdr:row>43</xdr:row>
                    <xdr:rowOff>38100</xdr:rowOff>
                  </from>
                  <to>
                    <xdr:col>23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63" name="Check Box 762">
              <controlPr defaultSize="0" autoFill="0" autoLine="0" autoPict="0">
                <anchor moveWithCells="1">
                  <from>
                    <xdr:col>24</xdr:col>
                    <xdr:colOff>47625</xdr:colOff>
                    <xdr:row>43</xdr:row>
                    <xdr:rowOff>38100</xdr:rowOff>
                  </from>
                  <to>
                    <xdr:col>24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64" name="Check Box 763">
              <controlPr defaultSize="0" autoFill="0" autoLine="0" autoPict="0">
                <anchor moveWithCells="1">
                  <from>
                    <xdr:col>25</xdr:col>
                    <xdr:colOff>47625</xdr:colOff>
                    <xdr:row>43</xdr:row>
                    <xdr:rowOff>38100</xdr:rowOff>
                  </from>
                  <to>
                    <xdr:col>25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65" name="Check Box 764">
              <controlPr defaultSize="0" autoFill="0" autoLine="0" autoPict="0">
                <anchor moveWithCells="1">
                  <from>
                    <xdr:col>26</xdr:col>
                    <xdr:colOff>47625</xdr:colOff>
                    <xdr:row>43</xdr:row>
                    <xdr:rowOff>38100</xdr:rowOff>
                  </from>
                  <to>
                    <xdr:col>26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66" name="Check Box 765">
              <controlPr defaultSize="0" autoFill="0" autoLine="0" autoPict="0">
                <anchor moveWithCells="1">
                  <from>
                    <xdr:col>27</xdr:col>
                    <xdr:colOff>47625</xdr:colOff>
                    <xdr:row>43</xdr:row>
                    <xdr:rowOff>38100</xdr:rowOff>
                  </from>
                  <to>
                    <xdr:col>27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67" name="Check Box 766">
              <controlPr defaultSize="0" autoFill="0" autoLine="0" autoPict="0">
                <anchor moveWithCells="1">
                  <from>
                    <xdr:col>28</xdr:col>
                    <xdr:colOff>47625</xdr:colOff>
                    <xdr:row>43</xdr:row>
                    <xdr:rowOff>38100</xdr:rowOff>
                  </from>
                  <to>
                    <xdr:col>28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68" name="Check Box 767">
              <controlPr defaultSize="0" autoFill="0" autoLine="0" autoPict="0">
                <anchor moveWithCells="1">
                  <from>
                    <xdr:col>29</xdr:col>
                    <xdr:colOff>47625</xdr:colOff>
                    <xdr:row>43</xdr:row>
                    <xdr:rowOff>38100</xdr:rowOff>
                  </from>
                  <to>
                    <xdr:col>29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69" name="Check Box 768">
              <controlPr defaultSize="0" autoFill="0" autoLine="0" autoPict="0">
                <anchor moveWithCells="1">
                  <from>
                    <xdr:col>30</xdr:col>
                    <xdr:colOff>47625</xdr:colOff>
                    <xdr:row>43</xdr:row>
                    <xdr:rowOff>38100</xdr:rowOff>
                  </from>
                  <to>
                    <xdr:col>30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70" name="Check Box 769">
              <controlPr defaultSize="0" autoFill="0" autoLine="0" autoPict="0">
                <anchor moveWithCells="1">
                  <from>
                    <xdr:col>31</xdr:col>
                    <xdr:colOff>47625</xdr:colOff>
                    <xdr:row>43</xdr:row>
                    <xdr:rowOff>38100</xdr:rowOff>
                  </from>
                  <to>
                    <xdr:col>31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71" name="Check Box 770">
              <controlPr defaultSize="0" autoFill="0" autoLine="0" autoPict="0">
                <anchor moveWithCells="1">
                  <from>
                    <xdr:col>32</xdr:col>
                    <xdr:colOff>47625</xdr:colOff>
                    <xdr:row>43</xdr:row>
                    <xdr:rowOff>38100</xdr:rowOff>
                  </from>
                  <to>
                    <xdr:col>32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72" name="Check Box 771">
              <controlPr defaultSize="0" autoFill="0" autoLine="0" autoPict="0">
                <anchor moveWithCells="1">
                  <from>
                    <xdr:col>33</xdr:col>
                    <xdr:colOff>47625</xdr:colOff>
                    <xdr:row>43</xdr:row>
                    <xdr:rowOff>38100</xdr:rowOff>
                  </from>
                  <to>
                    <xdr:col>33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73" name="Check Box 772">
              <controlPr defaultSize="0" autoFill="0" autoLine="0" autoPict="0">
                <anchor moveWithCells="1">
                  <from>
                    <xdr:col>34</xdr:col>
                    <xdr:colOff>47625</xdr:colOff>
                    <xdr:row>43</xdr:row>
                    <xdr:rowOff>38100</xdr:rowOff>
                  </from>
                  <to>
                    <xdr:col>34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74" name="Check Box 773">
              <controlPr defaultSize="0" autoFill="0" autoLine="0" autoPict="0">
                <anchor moveWithCells="1">
                  <from>
                    <xdr:col>35</xdr:col>
                    <xdr:colOff>47625</xdr:colOff>
                    <xdr:row>43</xdr:row>
                    <xdr:rowOff>38100</xdr:rowOff>
                  </from>
                  <to>
                    <xdr:col>35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75" name="Check Box 774">
              <controlPr defaultSize="0" autoFill="0" autoLine="0" autoPict="0">
                <anchor moveWithCells="1">
                  <from>
                    <xdr:col>36</xdr:col>
                    <xdr:colOff>47625</xdr:colOff>
                    <xdr:row>43</xdr:row>
                    <xdr:rowOff>38100</xdr:rowOff>
                  </from>
                  <to>
                    <xdr:col>36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76" name="Check Box 775">
              <controlPr defaultSize="0" autoFill="0" autoLine="0" autoPict="0">
                <anchor moveWithCells="1">
                  <from>
                    <xdr:col>37</xdr:col>
                    <xdr:colOff>47625</xdr:colOff>
                    <xdr:row>43</xdr:row>
                    <xdr:rowOff>38100</xdr:rowOff>
                  </from>
                  <to>
                    <xdr:col>37</xdr:col>
                    <xdr:colOff>342900</xdr:colOff>
                    <xdr:row>43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77" name="Check Box 776">
              <controlPr defaultSize="0" autoFill="0" autoLine="0" autoPict="0">
                <anchor moveWithCells="1">
                  <from>
                    <xdr:col>7</xdr:col>
                    <xdr:colOff>47625</xdr:colOff>
                    <xdr:row>44</xdr:row>
                    <xdr:rowOff>38100</xdr:rowOff>
                  </from>
                  <to>
                    <xdr:col>7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78" name="Check Box 777">
              <controlPr defaultSize="0" autoFill="0" autoLine="0" autoPict="0">
                <anchor moveWithCells="1">
                  <from>
                    <xdr:col>8</xdr:col>
                    <xdr:colOff>47625</xdr:colOff>
                    <xdr:row>44</xdr:row>
                    <xdr:rowOff>38100</xdr:rowOff>
                  </from>
                  <to>
                    <xdr:col>8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79" name="Check Box 778">
              <controlPr defaultSize="0" autoFill="0" autoLine="0" autoPict="0">
                <anchor moveWithCells="1">
                  <from>
                    <xdr:col>9</xdr:col>
                    <xdr:colOff>47625</xdr:colOff>
                    <xdr:row>44</xdr:row>
                    <xdr:rowOff>38100</xdr:rowOff>
                  </from>
                  <to>
                    <xdr:col>9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80" name="Check Box 779">
              <controlPr defaultSize="0" autoFill="0" autoLine="0" autoPict="0">
                <anchor moveWithCells="1">
                  <from>
                    <xdr:col>10</xdr:col>
                    <xdr:colOff>47625</xdr:colOff>
                    <xdr:row>44</xdr:row>
                    <xdr:rowOff>38100</xdr:rowOff>
                  </from>
                  <to>
                    <xdr:col>10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81" name="Check Box 780">
              <controlPr defaultSize="0" autoFill="0" autoLine="0" autoPict="0">
                <anchor moveWithCells="1">
                  <from>
                    <xdr:col>11</xdr:col>
                    <xdr:colOff>47625</xdr:colOff>
                    <xdr:row>44</xdr:row>
                    <xdr:rowOff>38100</xdr:rowOff>
                  </from>
                  <to>
                    <xdr:col>11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82" name="Check Box 781">
              <controlPr defaultSize="0" autoFill="0" autoLine="0" autoPict="0">
                <anchor moveWithCells="1">
                  <from>
                    <xdr:col>12</xdr:col>
                    <xdr:colOff>47625</xdr:colOff>
                    <xdr:row>44</xdr:row>
                    <xdr:rowOff>38100</xdr:rowOff>
                  </from>
                  <to>
                    <xdr:col>12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83" name="Check Box 782">
              <controlPr defaultSize="0" autoFill="0" autoLine="0" autoPict="0">
                <anchor moveWithCells="1">
                  <from>
                    <xdr:col>13</xdr:col>
                    <xdr:colOff>47625</xdr:colOff>
                    <xdr:row>44</xdr:row>
                    <xdr:rowOff>38100</xdr:rowOff>
                  </from>
                  <to>
                    <xdr:col>13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84" name="Check Box 783">
              <controlPr defaultSize="0" autoFill="0" autoLine="0" autoPict="0">
                <anchor moveWithCells="1">
                  <from>
                    <xdr:col>14</xdr:col>
                    <xdr:colOff>47625</xdr:colOff>
                    <xdr:row>44</xdr:row>
                    <xdr:rowOff>38100</xdr:rowOff>
                  </from>
                  <to>
                    <xdr:col>14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85" name="Check Box 784">
              <controlPr defaultSize="0" autoFill="0" autoLine="0" autoPict="0">
                <anchor moveWithCells="1">
                  <from>
                    <xdr:col>15</xdr:col>
                    <xdr:colOff>47625</xdr:colOff>
                    <xdr:row>44</xdr:row>
                    <xdr:rowOff>38100</xdr:rowOff>
                  </from>
                  <to>
                    <xdr:col>15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86" name="Check Box 785">
              <controlPr defaultSize="0" autoFill="0" autoLine="0" autoPict="0">
                <anchor moveWithCells="1">
                  <from>
                    <xdr:col>16</xdr:col>
                    <xdr:colOff>47625</xdr:colOff>
                    <xdr:row>44</xdr:row>
                    <xdr:rowOff>38100</xdr:rowOff>
                  </from>
                  <to>
                    <xdr:col>16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87" name="Check Box 786">
              <controlPr defaultSize="0" autoFill="0" autoLine="0" autoPict="0">
                <anchor moveWithCells="1">
                  <from>
                    <xdr:col>17</xdr:col>
                    <xdr:colOff>47625</xdr:colOff>
                    <xdr:row>44</xdr:row>
                    <xdr:rowOff>38100</xdr:rowOff>
                  </from>
                  <to>
                    <xdr:col>17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88" name="Check Box 787">
              <controlPr defaultSize="0" autoFill="0" autoLine="0" autoPict="0">
                <anchor moveWithCells="1">
                  <from>
                    <xdr:col>18</xdr:col>
                    <xdr:colOff>47625</xdr:colOff>
                    <xdr:row>44</xdr:row>
                    <xdr:rowOff>38100</xdr:rowOff>
                  </from>
                  <to>
                    <xdr:col>18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89" name="Check Box 788">
              <controlPr defaultSize="0" autoFill="0" autoLine="0" autoPict="0">
                <anchor moveWithCells="1">
                  <from>
                    <xdr:col>19</xdr:col>
                    <xdr:colOff>47625</xdr:colOff>
                    <xdr:row>44</xdr:row>
                    <xdr:rowOff>38100</xdr:rowOff>
                  </from>
                  <to>
                    <xdr:col>19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790" name="Check Box 789">
              <controlPr defaultSize="0" autoFill="0" autoLine="0" autoPict="0">
                <anchor moveWithCells="1">
                  <from>
                    <xdr:col>20</xdr:col>
                    <xdr:colOff>47625</xdr:colOff>
                    <xdr:row>44</xdr:row>
                    <xdr:rowOff>38100</xdr:rowOff>
                  </from>
                  <to>
                    <xdr:col>20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791" name="Check Box 790">
              <controlPr defaultSize="0" autoFill="0" autoLine="0" autoPict="0">
                <anchor moveWithCells="1">
                  <from>
                    <xdr:col>21</xdr:col>
                    <xdr:colOff>47625</xdr:colOff>
                    <xdr:row>44</xdr:row>
                    <xdr:rowOff>38100</xdr:rowOff>
                  </from>
                  <to>
                    <xdr:col>21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92" name="Check Box 791">
              <controlPr defaultSize="0" autoFill="0" autoLine="0" autoPict="0">
                <anchor moveWithCells="1">
                  <from>
                    <xdr:col>22</xdr:col>
                    <xdr:colOff>47625</xdr:colOff>
                    <xdr:row>44</xdr:row>
                    <xdr:rowOff>38100</xdr:rowOff>
                  </from>
                  <to>
                    <xdr:col>22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93" name="Check Box 792">
              <controlPr defaultSize="0" autoFill="0" autoLine="0" autoPict="0">
                <anchor moveWithCells="1">
                  <from>
                    <xdr:col>23</xdr:col>
                    <xdr:colOff>47625</xdr:colOff>
                    <xdr:row>44</xdr:row>
                    <xdr:rowOff>38100</xdr:rowOff>
                  </from>
                  <to>
                    <xdr:col>23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94" name="Check Box 793">
              <controlPr defaultSize="0" autoFill="0" autoLine="0" autoPict="0">
                <anchor moveWithCells="1">
                  <from>
                    <xdr:col>24</xdr:col>
                    <xdr:colOff>47625</xdr:colOff>
                    <xdr:row>44</xdr:row>
                    <xdr:rowOff>38100</xdr:rowOff>
                  </from>
                  <to>
                    <xdr:col>24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95" name="Check Box 794">
              <controlPr defaultSize="0" autoFill="0" autoLine="0" autoPict="0">
                <anchor moveWithCells="1">
                  <from>
                    <xdr:col>25</xdr:col>
                    <xdr:colOff>47625</xdr:colOff>
                    <xdr:row>44</xdr:row>
                    <xdr:rowOff>38100</xdr:rowOff>
                  </from>
                  <to>
                    <xdr:col>25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96" name="Check Box 795">
              <controlPr defaultSize="0" autoFill="0" autoLine="0" autoPict="0">
                <anchor moveWithCells="1">
                  <from>
                    <xdr:col>26</xdr:col>
                    <xdr:colOff>47625</xdr:colOff>
                    <xdr:row>44</xdr:row>
                    <xdr:rowOff>38100</xdr:rowOff>
                  </from>
                  <to>
                    <xdr:col>26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97" name="Check Box 796">
              <controlPr defaultSize="0" autoFill="0" autoLine="0" autoPict="0">
                <anchor moveWithCells="1">
                  <from>
                    <xdr:col>27</xdr:col>
                    <xdr:colOff>47625</xdr:colOff>
                    <xdr:row>44</xdr:row>
                    <xdr:rowOff>38100</xdr:rowOff>
                  </from>
                  <to>
                    <xdr:col>27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98" name="Check Box 797">
              <controlPr defaultSize="0" autoFill="0" autoLine="0" autoPict="0">
                <anchor moveWithCells="1">
                  <from>
                    <xdr:col>28</xdr:col>
                    <xdr:colOff>47625</xdr:colOff>
                    <xdr:row>44</xdr:row>
                    <xdr:rowOff>38100</xdr:rowOff>
                  </from>
                  <to>
                    <xdr:col>28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799" name="Check Box 798">
              <controlPr defaultSize="0" autoFill="0" autoLine="0" autoPict="0">
                <anchor moveWithCells="1">
                  <from>
                    <xdr:col>29</xdr:col>
                    <xdr:colOff>47625</xdr:colOff>
                    <xdr:row>44</xdr:row>
                    <xdr:rowOff>38100</xdr:rowOff>
                  </from>
                  <to>
                    <xdr:col>29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800" name="Check Box 799">
              <controlPr defaultSize="0" autoFill="0" autoLine="0" autoPict="0">
                <anchor moveWithCells="1">
                  <from>
                    <xdr:col>30</xdr:col>
                    <xdr:colOff>47625</xdr:colOff>
                    <xdr:row>44</xdr:row>
                    <xdr:rowOff>38100</xdr:rowOff>
                  </from>
                  <to>
                    <xdr:col>30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801" name="Check Box 800">
              <controlPr defaultSize="0" autoFill="0" autoLine="0" autoPict="0">
                <anchor moveWithCells="1">
                  <from>
                    <xdr:col>31</xdr:col>
                    <xdr:colOff>47625</xdr:colOff>
                    <xdr:row>44</xdr:row>
                    <xdr:rowOff>38100</xdr:rowOff>
                  </from>
                  <to>
                    <xdr:col>31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802" name="Check Box 801">
              <controlPr defaultSize="0" autoFill="0" autoLine="0" autoPict="0">
                <anchor moveWithCells="1">
                  <from>
                    <xdr:col>32</xdr:col>
                    <xdr:colOff>47625</xdr:colOff>
                    <xdr:row>44</xdr:row>
                    <xdr:rowOff>38100</xdr:rowOff>
                  </from>
                  <to>
                    <xdr:col>32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803" name="Check Box 802">
              <controlPr defaultSize="0" autoFill="0" autoLine="0" autoPict="0">
                <anchor moveWithCells="1">
                  <from>
                    <xdr:col>33</xdr:col>
                    <xdr:colOff>47625</xdr:colOff>
                    <xdr:row>44</xdr:row>
                    <xdr:rowOff>38100</xdr:rowOff>
                  </from>
                  <to>
                    <xdr:col>33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804" name="Check Box 803">
              <controlPr defaultSize="0" autoFill="0" autoLine="0" autoPict="0">
                <anchor moveWithCells="1">
                  <from>
                    <xdr:col>34</xdr:col>
                    <xdr:colOff>47625</xdr:colOff>
                    <xdr:row>44</xdr:row>
                    <xdr:rowOff>38100</xdr:rowOff>
                  </from>
                  <to>
                    <xdr:col>34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805" name="Check Box 804">
              <controlPr defaultSize="0" autoFill="0" autoLine="0" autoPict="0">
                <anchor moveWithCells="1">
                  <from>
                    <xdr:col>35</xdr:col>
                    <xdr:colOff>47625</xdr:colOff>
                    <xdr:row>44</xdr:row>
                    <xdr:rowOff>38100</xdr:rowOff>
                  </from>
                  <to>
                    <xdr:col>35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806" name="Check Box 805">
              <controlPr defaultSize="0" autoFill="0" autoLine="0" autoPict="0">
                <anchor moveWithCells="1">
                  <from>
                    <xdr:col>36</xdr:col>
                    <xdr:colOff>47625</xdr:colOff>
                    <xdr:row>44</xdr:row>
                    <xdr:rowOff>38100</xdr:rowOff>
                  </from>
                  <to>
                    <xdr:col>36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807" name="Check Box 806">
              <controlPr defaultSize="0" autoFill="0" autoLine="0" autoPict="0">
                <anchor moveWithCells="1">
                  <from>
                    <xdr:col>37</xdr:col>
                    <xdr:colOff>47625</xdr:colOff>
                    <xdr:row>44</xdr:row>
                    <xdr:rowOff>38100</xdr:rowOff>
                  </from>
                  <to>
                    <xdr:col>37</xdr:col>
                    <xdr:colOff>342900</xdr:colOff>
                    <xdr:row>44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808" name="Check Box 807">
              <controlPr defaultSize="0" autoFill="0" autoLine="0" autoPict="0">
                <anchor moveWithCells="1">
                  <from>
                    <xdr:col>7</xdr:col>
                    <xdr:colOff>47625</xdr:colOff>
                    <xdr:row>45</xdr:row>
                    <xdr:rowOff>38100</xdr:rowOff>
                  </from>
                  <to>
                    <xdr:col>7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809" name="Check Box 808">
              <controlPr defaultSize="0" autoFill="0" autoLine="0" autoPict="0">
                <anchor moveWithCells="1">
                  <from>
                    <xdr:col>8</xdr:col>
                    <xdr:colOff>47625</xdr:colOff>
                    <xdr:row>45</xdr:row>
                    <xdr:rowOff>38100</xdr:rowOff>
                  </from>
                  <to>
                    <xdr:col>8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810" name="Check Box 809">
              <controlPr defaultSize="0" autoFill="0" autoLine="0" autoPict="0">
                <anchor moveWithCells="1">
                  <from>
                    <xdr:col>9</xdr:col>
                    <xdr:colOff>47625</xdr:colOff>
                    <xdr:row>45</xdr:row>
                    <xdr:rowOff>38100</xdr:rowOff>
                  </from>
                  <to>
                    <xdr:col>9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811" name="Check Box 810">
              <controlPr defaultSize="0" autoFill="0" autoLine="0" autoPict="0">
                <anchor moveWithCells="1">
                  <from>
                    <xdr:col>10</xdr:col>
                    <xdr:colOff>47625</xdr:colOff>
                    <xdr:row>45</xdr:row>
                    <xdr:rowOff>38100</xdr:rowOff>
                  </from>
                  <to>
                    <xdr:col>10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812" name="Check Box 811">
              <controlPr defaultSize="0" autoFill="0" autoLine="0" autoPict="0">
                <anchor moveWithCells="1">
                  <from>
                    <xdr:col>11</xdr:col>
                    <xdr:colOff>47625</xdr:colOff>
                    <xdr:row>45</xdr:row>
                    <xdr:rowOff>38100</xdr:rowOff>
                  </from>
                  <to>
                    <xdr:col>11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813" name="Check Box 812">
              <controlPr defaultSize="0" autoFill="0" autoLine="0" autoPict="0">
                <anchor moveWithCells="1">
                  <from>
                    <xdr:col>12</xdr:col>
                    <xdr:colOff>47625</xdr:colOff>
                    <xdr:row>45</xdr:row>
                    <xdr:rowOff>38100</xdr:rowOff>
                  </from>
                  <to>
                    <xdr:col>12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814" name="Check Box 813">
              <controlPr defaultSize="0" autoFill="0" autoLine="0" autoPict="0">
                <anchor moveWithCells="1">
                  <from>
                    <xdr:col>13</xdr:col>
                    <xdr:colOff>47625</xdr:colOff>
                    <xdr:row>45</xdr:row>
                    <xdr:rowOff>38100</xdr:rowOff>
                  </from>
                  <to>
                    <xdr:col>13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815" name="Check Box 814">
              <controlPr defaultSize="0" autoFill="0" autoLine="0" autoPict="0">
                <anchor moveWithCells="1">
                  <from>
                    <xdr:col>14</xdr:col>
                    <xdr:colOff>47625</xdr:colOff>
                    <xdr:row>45</xdr:row>
                    <xdr:rowOff>38100</xdr:rowOff>
                  </from>
                  <to>
                    <xdr:col>14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816" name="Check Box 815">
              <controlPr defaultSize="0" autoFill="0" autoLine="0" autoPict="0">
                <anchor moveWithCells="1">
                  <from>
                    <xdr:col>15</xdr:col>
                    <xdr:colOff>47625</xdr:colOff>
                    <xdr:row>45</xdr:row>
                    <xdr:rowOff>38100</xdr:rowOff>
                  </from>
                  <to>
                    <xdr:col>15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817" name="Check Box 816">
              <controlPr defaultSize="0" autoFill="0" autoLine="0" autoPict="0">
                <anchor moveWithCells="1">
                  <from>
                    <xdr:col>16</xdr:col>
                    <xdr:colOff>47625</xdr:colOff>
                    <xdr:row>45</xdr:row>
                    <xdr:rowOff>38100</xdr:rowOff>
                  </from>
                  <to>
                    <xdr:col>16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818" name="Check Box 817">
              <controlPr defaultSize="0" autoFill="0" autoLine="0" autoPict="0">
                <anchor moveWithCells="1">
                  <from>
                    <xdr:col>17</xdr:col>
                    <xdr:colOff>47625</xdr:colOff>
                    <xdr:row>45</xdr:row>
                    <xdr:rowOff>38100</xdr:rowOff>
                  </from>
                  <to>
                    <xdr:col>17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819" name="Check Box 818">
              <controlPr defaultSize="0" autoFill="0" autoLine="0" autoPict="0">
                <anchor moveWithCells="1">
                  <from>
                    <xdr:col>18</xdr:col>
                    <xdr:colOff>47625</xdr:colOff>
                    <xdr:row>45</xdr:row>
                    <xdr:rowOff>38100</xdr:rowOff>
                  </from>
                  <to>
                    <xdr:col>18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820" name="Check Box 819">
              <controlPr defaultSize="0" autoFill="0" autoLine="0" autoPict="0">
                <anchor moveWithCells="1">
                  <from>
                    <xdr:col>19</xdr:col>
                    <xdr:colOff>47625</xdr:colOff>
                    <xdr:row>45</xdr:row>
                    <xdr:rowOff>38100</xdr:rowOff>
                  </from>
                  <to>
                    <xdr:col>19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821" name="Check Box 820">
              <controlPr defaultSize="0" autoFill="0" autoLine="0" autoPict="0">
                <anchor moveWithCells="1">
                  <from>
                    <xdr:col>20</xdr:col>
                    <xdr:colOff>47625</xdr:colOff>
                    <xdr:row>45</xdr:row>
                    <xdr:rowOff>38100</xdr:rowOff>
                  </from>
                  <to>
                    <xdr:col>20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822" name="Check Box 821">
              <controlPr defaultSize="0" autoFill="0" autoLine="0" autoPict="0">
                <anchor moveWithCells="1">
                  <from>
                    <xdr:col>21</xdr:col>
                    <xdr:colOff>47625</xdr:colOff>
                    <xdr:row>45</xdr:row>
                    <xdr:rowOff>38100</xdr:rowOff>
                  </from>
                  <to>
                    <xdr:col>21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823" name="Check Box 822">
              <controlPr defaultSize="0" autoFill="0" autoLine="0" autoPict="0">
                <anchor moveWithCells="1">
                  <from>
                    <xdr:col>22</xdr:col>
                    <xdr:colOff>47625</xdr:colOff>
                    <xdr:row>45</xdr:row>
                    <xdr:rowOff>38100</xdr:rowOff>
                  </from>
                  <to>
                    <xdr:col>22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824" name="Check Box 823">
              <controlPr defaultSize="0" autoFill="0" autoLine="0" autoPict="0">
                <anchor moveWithCells="1">
                  <from>
                    <xdr:col>23</xdr:col>
                    <xdr:colOff>47625</xdr:colOff>
                    <xdr:row>45</xdr:row>
                    <xdr:rowOff>38100</xdr:rowOff>
                  </from>
                  <to>
                    <xdr:col>23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825" name="Check Box 824">
              <controlPr defaultSize="0" autoFill="0" autoLine="0" autoPict="0">
                <anchor moveWithCells="1">
                  <from>
                    <xdr:col>24</xdr:col>
                    <xdr:colOff>47625</xdr:colOff>
                    <xdr:row>45</xdr:row>
                    <xdr:rowOff>38100</xdr:rowOff>
                  </from>
                  <to>
                    <xdr:col>24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826" name="Check Box 825">
              <controlPr defaultSize="0" autoFill="0" autoLine="0" autoPict="0">
                <anchor moveWithCells="1">
                  <from>
                    <xdr:col>25</xdr:col>
                    <xdr:colOff>47625</xdr:colOff>
                    <xdr:row>45</xdr:row>
                    <xdr:rowOff>38100</xdr:rowOff>
                  </from>
                  <to>
                    <xdr:col>25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827" name="Check Box 826">
              <controlPr defaultSize="0" autoFill="0" autoLine="0" autoPict="0">
                <anchor moveWithCells="1">
                  <from>
                    <xdr:col>26</xdr:col>
                    <xdr:colOff>47625</xdr:colOff>
                    <xdr:row>45</xdr:row>
                    <xdr:rowOff>38100</xdr:rowOff>
                  </from>
                  <to>
                    <xdr:col>26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828" name="Check Box 827">
              <controlPr defaultSize="0" autoFill="0" autoLine="0" autoPict="0">
                <anchor moveWithCells="1">
                  <from>
                    <xdr:col>27</xdr:col>
                    <xdr:colOff>47625</xdr:colOff>
                    <xdr:row>45</xdr:row>
                    <xdr:rowOff>38100</xdr:rowOff>
                  </from>
                  <to>
                    <xdr:col>27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829" name="Check Box 828">
              <controlPr defaultSize="0" autoFill="0" autoLine="0" autoPict="0">
                <anchor moveWithCells="1">
                  <from>
                    <xdr:col>28</xdr:col>
                    <xdr:colOff>47625</xdr:colOff>
                    <xdr:row>45</xdr:row>
                    <xdr:rowOff>38100</xdr:rowOff>
                  </from>
                  <to>
                    <xdr:col>28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830" name="Check Box 829">
              <controlPr defaultSize="0" autoFill="0" autoLine="0" autoPict="0">
                <anchor moveWithCells="1">
                  <from>
                    <xdr:col>29</xdr:col>
                    <xdr:colOff>47625</xdr:colOff>
                    <xdr:row>45</xdr:row>
                    <xdr:rowOff>38100</xdr:rowOff>
                  </from>
                  <to>
                    <xdr:col>29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831" name="Check Box 830">
              <controlPr defaultSize="0" autoFill="0" autoLine="0" autoPict="0">
                <anchor moveWithCells="1">
                  <from>
                    <xdr:col>30</xdr:col>
                    <xdr:colOff>47625</xdr:colOff>
                    <xdr:row>45</xdr:row>
                    <xdr:rowOff>38100</xdr:rowOff>
                  </from>
                  <to>
                    <xdr:col>30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832" name="Check Box 831">
              <controlPr defaultSize="0" autoFill="0" autoLine="0" autoPict="0">
                <anchor moveWithCells="1">
                  <from>
                    <xdr:col>31</xdr:col>
                    <xdr:colOff>47625</xdr:colOff>
                    <xdr:row>45</xdr:row>
                    <xdr:rowOff>38100</xdr:rowOff>
                  </from>
                  <to>
                    <xdr:col>31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833" name="Check Box 832">
              <controlPr defaultSize="0" autoFill="0" autoLine="0" autoPict="0">
                <anchor moveWithCells="1">
                  <from>
                    <xdr:col>32</xdr:col>
                    <xdr:colOff>47625</xdr:colOff>
                    <xdr:row>45</xdr:row>
                    <xdr:rowOff>38100</xdr:rowOff>
                  </from>
                  <to>
                    <xdr:col>32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834" name="Check Box 833">
              <controlPr defaultSize="0" autoFill="0" autoLine="0" autoPict="0">
                <anchor moveWithCells="1">
                  <from>
                    <xdr:col>33</xdr:col>
                    <xdr:colOff>47625</xdr:colOff>
                    <xdr:row>45</xdr:row>
                    <xdr:rowOff>38100</xdr:rowOff>
                  </from>
                  <to>
                    <xdr:col>33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835" name="Check Box 834">
              <controlPr defaultSize="0" autoFill="0" autoLine="0" autoPict="0">
                <anchor moveWithCells="1">
                  <from>
                    <xdr:col>34</xdr:col>
                    <xdr:colOff>47625</xdr:colOff>
                    <xdr:row>45</xdr:row>
                    <xdr:rowOff>38100</xdr:rowOff>
                  </from>
                  <to>
                    <xdr:col>34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836" name="Check Box 835">
              <controlPr defaultSize="0" autoFill="0" autoLine="0" autoPict="0">
                <anchor moveWithCells="1">
                  <from>
                    <xdr:col>35</xdr:col>
                    <xdr:colOff>47625</xdr:colOff>
                    <xdr:row>45</xdr:row>
                    <xdr:rowOff>38100</xdr:rowOff>
                  </from>
                  <to>
                    <xdr:col>35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837" name="Check Box 836">
              <controlPr defaultSize="0" autoFill="0" autoLine="0" autoPict="0">
                <anchor moveWithCells="1">
                  <from>
                    <xdr:col>36</xdr:col>
                    <xdr:colOff>47625</xdr:colOff>
                    <xdr:row>45</xdr:row>
                    <xdr:rowOff>38100</xdr:rowOff>
                  </from>
                  <to>
                    <xdr:col>36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838" name="Check Box 837">
              <controlPr defaultSize="0" autoFill="0" autoLine="0" autoPict="0">
                <anchor moveWithCells="1">
                  <from>
                    <xdr:col>37</xdr:col>
                    <xdr:colOff>47625</xdr:colOff>
                    <xdr:row>45</xdr:row>
                    <xdr:rowOff>38100</xdr:rowOff>
                  </from>
                  <to>
                    <xdr:col>37</xdr:col>
                    <xdr:colOff>342900</xdr:colOff>
                    <xdr:row>45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839" name="Check Box 838">
              <controlPr defaultSize="0" autoFill="0" autoLine="0" autoPict="0">
                <anchor moveWithCells="1">
                  <from>
                    <xdr:col>7</xdr:col>
                    <xdr:colOff>47625</xdr:colOff>
                    <xdr:row>46</xdr:row>
                    <xdr:rowOff>38100</xdr:rowOff>
                  </from>
                  <to>
                    <xdr:col>7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840" name="Check Box 839">
              <controlPr defaultSize="0" autoFill="0" autoLine="0" autoPict="0">
                <anchor moveWithCells="1">
                  <from>
                    <xdr:col>8</xdr:col>
                    <xdr:colOff>47625</xdr:colOff>
                    <xdr:row>46</xdr:row>
                    <xdr:rowOff>38100</xdr:rowOff>
                  </from>
                  <to>
                    <xdr:col>8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841" name="Check Box 840">
              <controlPr defaultSize="0" autoFill="0" autoLine="0" autoPict="0">
                <anchor moveWithCells="1">
                  <from>
                    <xdr:col>9</xdr:col>
                    <xdr:colOff>47625</xdr:colOff>
                    <xdr:row>46</xdr:row>
                    <xdr:rowOff>38100</xdr:rowOff>
                  </from>
                  <to>
                    <xdr:col>9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842" name="Check Box 841">
              <controlPr defaultSize="0" autoFill="0" autoLine="0" autoPict="0">
                <anchor moveWithCells="1">
                  <from>
                    <xdr:col>10</xdr:col>
                    <xdr:colOff>47625</xdr:colOff>
                    <xdr:row>46</xdr:row>
                    <xdr:rowOff>38100</xdr:rowOff>
                  </from>
                  <to>
                    <xdr:col>10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843" name="Check Box 842">
              <controlPr defaultSize="0" autoFill="0" autoLine="0" autoPict="0">
                <anchor moveWithCells="1">
                  <from>
                    <xdr:col>11</xdr:col>
                    <xdr:colOff>47625</xdr:colOff>
                    <xdr:row>46</xdr:row>
                    <xdr:rowOff>38100</xdr:rowOff>
                  </from>
                  <to>
                    <xdr:col>11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844" name="Check Box 843">
              <controlPr defaultSize="0" autoFill="0" autoLine="0" autoPict="0">
                <anchor moveWithCells="1">
                  <from>
                    <xdr:col>12</xdr:col>
                    <xdr:colOff>47625</xdr:colOff>
                    <xdr:row>46</xdr:row>
                    <xdr:rowOff>38100</xdr:rowOff>
                  </from>
                  <to>
                    <xdr:col>12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845" name="Check Box 844">
              <controlPr defaultSize="0" autoFill="0" autoLine="0" autoPict="0">
                <anchor moveWithCells="1">
                  <from>
                    <xdr:col>13</xdr:col>
                    <xdr:colOff>47625</xdr:colOff>
                    <xdr:row>46</xdr:row>
                    <xdr:rowOff>38100</xdr:rowOff>
                  </from>
                  <to>
                    <xdr:col>13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846" name="Check Box 845">
              <controlPr defaultSize="0" autoFill="0" autoLine="0" autoPict="0">
                <anchor moveWithCells="1">
                  <from>
                    <xdr:col>14</xdr:col>
                    <xdr:colOff>47625</xdr:colOff>
                    <xdr:row>46</xdr:row>
                    <xdr:rowOff>38100</xdr:rowOff>
                  </from>
                  <to>
                    <xdr:col>14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847" name="Check Box 846">
              <controlPr defaultSize="0" autoFill="0" autoLine="0" autoPict="0">
                <anchor moveWithCells="1">
                  <from>
                    <xdr:col>15</xdr:col>
                    <xdr:colOff>47625</xdr:colOff>
                    <xdr:row>46</xdr:row>
                    <xdr:rowOff>38100</xdr:rowOff>
                  </from>
                  <to>
                    <xdr:col>15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848" name="Check Box 847">
              <controlPr defaultSize="0" autoFill="0" autoLine="0" autoPict="0">
                <anchor moveWithCells="1">
                  <from>
                    <xdr:col>16</xdr:col>
                    <xdr:colOff>47625</xdr:colOff>
                    <xdr:row>46</xdr:row>
                    <xdr:rowOff>38100</xdr:rowOff>
                  </from>
                  <to>
                    <xdr:col>16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849" name="Check Box 848">
              <controlPr defaultSize="0" autoFill="0" autoLine="0" autoPict="0">
                <anchor moveWithCells="1">
                  <from>
                    <xdr:col>17</xdr:col>
                    <xdr:colOff>47625</xdr:colOff>
                    <xdr:row>46</xdr:row>
                    <xdr:rowOff>38100</xdr:rowOff>
                  </from>
                  <to>
                    <xdr:col>17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850" name="Check Box 849">
              <controlPr defaultSize="0" autoFill="0" autoLine="0" autoPict="0">
                <anchor moveWithCells="1">
                  <from>
                    <xdr:col>18</xdr:col>
                    <xdr:colOff>47625</xdr:colOff>
                    <xdr:row>46</xdr:row>
                    <xdr:rowOff>38100</xdr:rowOff>
                  </from>
                  <to>
                    <xdr:col>18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851" name="Check Box 850">
              <controlPr defaultSize="0" autoFill="0" autoLine="0" autoPict="0">
                <anchor moveWithCells="1">
                  <from>
                    <xdr:col>19</xdr:col>
                    <xdr:colOff>47625</xdr:colOff>
                    <xdr:row>46</xdr:row>
                    <xdr:rowOff>38100</xdr:rowOff>
                  </from>
                  <to>
                    <xdr:col>19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852" name="Check Box 851">
              <controlPr defaultSize="0" autoFill="0" autoLine="0" autoPict="0">
                <anchor moveWithCells="1">
                  <from>
                    <xdr:col>20</xdr:col>
                    <xdr:colOff>47625</xdr:colOff>
                    <xdr:row>46</xdr:row>
                    <xdr:rowOff>38100</xdr:rowOff>
                  </from>
                  <to>
                    <xdr:col>20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853" name="Check Box 852">
              <controlPr defaultSize="0" autoFill="0" autoLine="0" autoPict="0">
                <anchor moveWithCells="1">
                  <from>
                    <xdr:col>21</xdr:col>
                    <xdr:colOff>47625</xdr:colOff>
                    <xdr:row>46</xdr:row>
                    <xdr:rowOff>38100</xdr:rowOff>
                  </from>
                  <to>
                    <xdr:col>21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854" name="Check Box 853">
              <controlPr defaultSize="0" autoFill="0" autoLine="0" autoPict="0">
                <anchor moveWithCells="1">
                  <from>
                    <xdr:col>22</xdr:col>
                    <xdr:colOff>47625</xdr:colOff>
                    <xdr:row>46</xdr:row>
                    <xdr:rowOff>38100</xdr:rowOff>
                  </from>
                  <to>
                    <xdr:col>22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855" name="Check Box 854">
              <controlPr defaultSize="0" autoFill="0" autoLine="0" autoPict="0">
                <anchor moveWithCells="1">
                  <from>
                    <xdr:col>23</xdr:col>
                    <xdr:colOff>47625</xdr:colOff>
                    <xdr:row>46</xdr:row>
                    <xdr:rowOff>38100</xdr:rowOff>
                  </from>
                  <to>
                    <xdr:col>23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856" name="Check Box 855">
              <controlPr defaultSize="0" autoFill="0" autoLine="0" autoPict="0">
                <anchor moveWithCells="1">
                  <from>
                    <xdr:col>24</xdr:col>
                    <xdr:colOff>47625</xdr:colOff>
                    <xdr:row>46</xdr:row>
                    <xdr:rowOff>38100</xdr:rowOff>
                  </from>
                  <to>
                    <xdr:col>24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857" name="Check Box 856">
              <controlPr defaultSize="0" autoFill="0" autoLine="0" autoPict="0">
                <anchor moveWithCells="1">
                  <from>
                    <xdr:col>25</xdr:col>
                    <xdr:colOff>47625</xdr:colOff>
                    <xdr:row>46</xdr:row>
                    <xdr:rowOff>38100</xdr:rowOff>
                  </from>
                  <to>
                    <xdr:col>25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858" name="Check Box 857">
              <controlPr defaultSize="0" autoFill="0" autoLine="0" autoPict="0">
                <anchor moveWithCells="1">
                  <from>
                    <xdr:col>26</xdr:col>
                    <xdr:colOff>47625</xdr:colOff>
                    <xdr:row>46</xdr:row>
                    <xdr:rowOff>38100</xdr:rowOff>
                  </from>
                  <to>
                    <xdr:col>26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859" name="Check Box 858">
              <controlPr defaultSize="0" autoFill="0" autoLine="0" autoPict="0">
                <anchor moveWithCells="1">
                  <from>
                    <xdr:col>27</xdr:col>
                    <xdr:colOff>47625</xdr:colOff>
                    <xdr:row>46</xdr:row>
                    <xdr:rowOff>38100</xdr:rowOff>
                  </from>
                  <to>
                    <xdr:col>27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860" name="Check Box 859">
              <controlPr defaultSize="0" autoFill="0" autoLine="0" autoPict="0">
                <anchor moveWithCells="1">
                  <from>
                    <xdr:col>28</xdr:col>
                    <xdr:colOff>47625</xdr:colOff>
                    <xdr:row>46</xdr:row>
                    <xdr:rowOff>38100</xdr:rowOff>
                  </from>
                  <to>
                    <xdr:col>28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861" name="Check Box 860">
              <controlPr defaultSize="0" autoFill="0" autoLine="0" autoPict="0">
                <anchor moveWithCells="1">
                  <from>
                    <xdr:col>29</xdr:col>
                    <xdr:colOff>47625</xdr:colOff>
                    <xdr:row>46</xdr:row>
                    <xdr:rowOff>38100</xdr:rowOff>
                  </from>
                  <to>
                    <xdr:col>29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862" name="Check Box 861">
              <controlPr defaultSize="0" autoFill="0" autoLine="0" autoPict="0">
                <anchor moveWithCells="1">
                  <from>
                    <xdr:col>30</xdr:col>
                    <xdr:colOff>47625</xdr:colOff>
                    <xdr:row>46</xdr:row>
                    <xdr:rowOff>38100</xdr:rowOff>
                  </from>
                  <to>
                    <xdr:col>30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863" name="Check Box 862">
              <controlPr defaultSize="0" autoFill="0" autoLine="0" autoPict="0">
                <anchor moveWithCells="1">
                  <from>
                    <xdr:col>31</xdr:col>
                    <xdr:colOff>47625</xdr:colOff>
                    <xdr:row>46</xdr:row>
                    <xdr:rowOff>38100</xdr:rowOff>
                  </from>
                  <to>
                    <xdr:col>31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864" name="Check Box 863">
              <controlPr defaultSize="0" autoFill="0" autoLine="0" autoPict="0">
                <anchor moveWithCells="1">
                  <from>
                    <xdr:col>32</xdr:col>
                    <xdr:colOff>47625</xdr:colOff>
                    <xdr:row>46</xdr:row>
                    <xdr:rowOff>38100</xdr:rowOff>
                  </from>
                  <to>
                    <xdr:col>32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865" name="Check Box 864">
              <controlPr defaultSize="0" autoFill="0" autoLine="0" autoPict="0">
                <anchor moveWithCells="1">
                  <from>
                    <xdr:col>33</xdr:col>
                    <xdr:colOff>47625</xdr:colOff>
                    <xdr:row>46</xdr:row>
                    <xdr:rowOff>38100</xdr:rowOff>
                  </from>
                  <to>
                    <xdr:col>33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866" name="Check Box 865">
              <controlPr defaultSize="0" autoFill="0" autoLine="0" autoPict="0">
                <anchor moveWithCells="1">
                  <from>
                    <xdr:col>34</xdr:col>
                    <xdr:colOff>47625</xdr:colOff>
                    <xdr:row>46</xdr:row>
                    <xdr:rowOff>38100</xdr:rowOff>
                  </from>
                  <to>
                    <xdr:col>34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867" name="Check Box 866">
              <controlPr defaultSize="0" autoFill="0" autoLine="0" autoPict="0">
                <anchor moveWithCells="1">
                  <from>
                    <xdr:col>35</xdr:col>
                    <xdr:colOff>47625</xdr:colOff>
                    <xdr:row>46</xdr:row>
                    <xdr:rowOff>38100</xdr:rowOff>
                  </from>
                  <to>
                    <xdr:col>35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868" name="Check Box 867">
              <controlPr defaultSize="0" autoFill="0" autoLine="0" autoPict="0">
                <anchor moveWithCells="1">
                  <from>
                    <xdr:col>36</xdr:col>
                    <xdr:colOff>47625</xdr:colOff>
                    <xdr:row>46</xdr:row>
                    <xdr:rowOff>38100</xdr:rowOff>
                  </from>
                  <to>
                    <xdr:col>36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869" name="Check Box 868">
              <controlPr defaultSize="0" autoFill="0" autoLine="0" autoPict="0">
                <anchor moveWithCells="1">
                  <from>
                    <xdr:col>37</xdr:col>
                    <xdr:colOff>47625</xdr:colOff>
                    <xdr:row>46</xdr:row>
                    <xdr:rowOff>38100</xdr:rowOff>
                  </from>
                  <to>
                    <xdr:col>37</xdr:col>
                    <xdr:colOff>342900</xdr:colOff>
                    <xdr:row>46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70" name="Check Box 869">
              <controlPr defaultSize="0" autoFill="0" autoLine="0" autoPict="0">
                <anchor moveWithCells="1">
                  <from>
                    <xdr:col>7</xdr:col>
                    <xdr:colOff>47625</xdr:colOff>
                    <xdr:row>47</xdr:row>
                    <xdr:rowOff>38100</xdr:rowOff>
                  </from>
                  <to>
                    <xdr:col>7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71" name="Check Box 870">
              <controlPr defaultSize="0" autoFill="0" autoLine="0" autoPict="0">
                <anchor moveWithCells="1">
                  <from>
                    <xdr:col>8</xdr:col>
                    <xdr:colOff>47625</xdr:colOff>
                    <xdr:row>47</xdr:row>
                    <xdr:rowOff>38100</xdr:rowOff>
                  </from>
                  <to>
                    <xdr:col>8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72" name="Check Box 871">
              <controlPr defaultSize="0" autoFill="0" autoLine="0" autoPict="0">
                <anchor moveWithCells="1">
                  <from>
                    <xdr:col>9</xdr:col>
                    <xdr:colOff>47625</xdr:colOff>
                    <xdr:row>47</xdr:row>
                    <xdr:rowOff>38100</xdr:rowOff>
                  </from>
                  <to>
                    <xdr:col>9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73" name="Check Box 872">
              <controlPr defaultSize="0" autoFill="0" autoLine="0" autoPict="0">
                <anchor moveWithCells="1">
                  <from>
                    <xdr:col>10</xdr:col>
                    <xdr:colOff>47625</xdr:colOff>
                    <xdr:row>47</xdr:row>
                    <xdr:rowOff>38100</xdr:rowOff>
                  </from>
                  <to>
                    <xdr:col>10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74" name="Check Box 873">
              <controlPr defaultSize="0" autoFill="0" autoLine="0" autoPict="0">
                <anchor moveWithCells="1">
                  <from>
                    <xdr:col>11</xdr:col>
                    <xdr:colOff>47625</xdr:colOff>
                    <xdr:row>47</xdr:row>
                    <xdr:rowOff>38100</xdr:rowOff>
                  </from>
                  <to>
                    <xdr:col>11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75" name="Check Box 874">
              <controlPr defaultSize="0" autoFill="0" autoLine="0" autoPict="0">
                <anchor moveWithCells="1">
                  <from>
                    <xdr:col>12</xdr:col>
                    <xdr:colOff>47625</xdr:colOff>
                    <xdr:row>47</xdr:row>
                    <xdr:rowOff>38100</xdr:rowOff>
                  </from>
                  <to>
                    <xdr:col>12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76" name="Check Box 875">
              <controlPr defaultSize="0" autoFill="0" autoLine="0" autoPict="0">
                <anchor moveWithCells="1">
                  <from>
                    <xdr:col>13</xdr:col>
                    <xdr:colOff>47625</xdr:colOff>
                    <xdr:row>47</xdr:row>
                    <xdr:rowOff>38100</xdr:rowOff>
                  </from>
                  <to>
                    <xdr:col>13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77" name="Check Box 876">
              <controlPr defaultSize="0" autoFill="0" autoLine="0" autoPict="0">
                <anchor moveWithCells="1">
                  <from>
                    <xdr:col>14</xdr:col>
                    <xdr:colOff>47625</xdr:colOff>
                    <xdr:row>47</xdr:row>
                    <xdr:rowOff>38100</xdr:rowOff>
                  </from>
                  <to>
                    <xdr:col>14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78" name="Check Box 877">
              <controlPr defaultSize="0" autoFill="0" autoLine="0" autoPict="0">
                <anchor moveWithCells="1">
                  <from>
                    <xdr:col>15</xdr:col>
                    <xdr:colOff>47625</xdr:colOff>
                    <xdr:row>47</xdr:row>
                    <xdr:rowOff>38100</xdr:rowOff>
                  </from>
                  <to>
                    <xdr:col>15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79" name="Check Box 878">
              <controlPr defaultSize="0" autoFill="0" autoLine="0" autoPict="0">
                <anchor moveWithCells="1">
                  <from>
                    <xdr:col>16</xdr:col>
                    <xdr:colOff>47625</xdr:colOff>
                    <xdr:row>47</xdr:row>
                    <xdr:rowOff>38100</xdr:rowOff>
                  </from>
                  <to>
                    <xdr:col>16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80" name="Check Box 879">
              <controlPr defaultSize="0" autoFill="0" autoLine="0" autoPict="0">
                <anchor moveWithCells="1">
                  <from>
                    <xdr:col>17</xdr:col>
                    <xdr:colOff>47625</xdr:colOff>
                    <xdr:row>47</xdr:row>
                    <xdr:rowOff>38100</xdr:rowOff>
                  </from>
                  <to>
                    <xdr:col>17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81" name="Check Box 880">
              <controlPr defaultSize="0" autoFill="0" autoLine="0" autoPict="0">
                <anchor moveWithCells="1">
                  <from>
                    <xdr:col>18</xdr:col>
                    <xdr:colOff>47625</xdr:colOff>
                    <xdr:row>47</xdr:row>
                    <xdr:rowOff>38100</xdr:rowOff>
                  </from>
                  <to>
                    <xdr:col>18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82" name="Check Box 881">
              <controlPr defaultSize="0" autoFill="0" autoLine="0" autoPict="0">
                <anchor moveWithCells="1">
                  <from>
                    <xdr:col>19</xdr:col>
                    <xdr:colOff>47625</xdr:colOff>
                    <xdr:row>47</xdr:row>
                    <xdr:rowOff>38100</xdr:rowOff>
                  </from>
                  <to>
                    <xdr:col>19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83" name="Check Box 882">
              <controlPr defaultSize="0" autoFill="0" autoLine="0" autoPict="0">
                <anchor moveWithCells="1">
                  <from>
                    <xdr:col>20</xdr:col>
                    <xdr:colOff>47625</xdr:colOff>
                    <xdr:row>47</xdr:row>
                    <xdr:rowOff>38100</xdr:rowOff>
                  </from>
                  <to>
                    <xdr:col>20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84" name="Check Box 883">
              <controlPr defaultSize="0" autoFill="0" autoLine="0" autoPict="0">
                <anchor moveWithCells="1">
                  <from>
                    <xdr:col>21</xdr:col>
                    <xdr:colOff>47625</xdr:colOff>
                    <xdr:row>47</xdr:row>
                    <xdr:rowOff>38100</xdr:rowOff>
                  </from>
                  <to>
                    <xdr:col>21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85" name="Check Box 884">
              <controlPr defaultSize="0" autoFill="0" autoLine="0" autoPict="0">
                <anchor moveWithCells="1">
                  <from>
                    <xdr:col>22</xdr:col>
                    <xdr:colOff>47625</xdr:colOff>
                    <xdr:row>47</xdr:row>
                    <xdr:rowOff>38100</xdr:rowOff>
                  </from>
                  <to>
                    <xdr:col>22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86" name="Check Box 885">
              <controlPr defaultSize="0" autoFill="0" autoLine="0" autoPict="0">
                <anchor moveWithCells="1">
                  <from>
                    <xdr:col>23</xdr:col>
                    <xdr:colOff>47625</xdr:colOff>
                    <xdr:row>47</xdr:row>
                    <xdr:rowOff>38100</xdr:rowOff>
                  </from>
                  <to>
                    <xdr:col>23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87" name="Check Box 886">
              <controlPr defaultSize="0" autoFill="0" autoLine="0" autoPict="0">
                <anchor moveWithCells="1">
                  <from>
                    <xdr:col>24</xdr:col>
                    <xdr:colOff>47625</xdr:colOff>
                    <xdr:row>47</xdr:row>
                    <xdr:rowOff>38100</xdr:rowOff>
                  </from>
                  <to>
                    <xdr:col>24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88" name="Check Box 887">
              <controlPr defaultSize="0" autoFill="0" autoLine="0" autoPict="0">
                <anchor moveWithCells="1">
                  <from>
                    <xdr:col>25</xdr:col>
                    <xdr:colOff>47625</xdr:colOff>
                    <xdr:row>47</xdr:row>
                    <xdr:rowOff>38100</xdr:rowOff>
                  </from>
                  <to>
                    <xdr:col>25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89" name="Check Box 888">
              <controlPr defaultSize="0" autoFill="0" autoLine="0" autoPict="0">
                <anchor moveWithCells="1">
                  <from>
                    <xdr:col>26</xdr:col>
                    <xdr:colOff>47625</xdr:colOff>
                    <xdr:row>47</xdr:row>
                    <xdr:rowOff>38100</xdr:rowOff>
                  </from>
                  <to>
                    <xdr:col>26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90" name="Check Box 889">
              <controlPr defaultSize="0" autoFill="0" autoLine="0" autoPict="0">
                <anchor moveWithCells="1">
                  <from>
                    <xdr:col>27</xdr:col>
                    <xdr:colOff>47625</xdr:colOff>
                    <xdr:row>47</xdr:row>
                    <xdr:rowOff>38100</xdr:rowOff>
                  </from>
                  <to>
                    <xdr:col>27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91" name="Check Box 890">
              <controlPr defaultSize="0" autoFill="0" autoLine="0" autoPict="0">
                <anchor moveWithCells="1">
                  <from>
                    <xdr:col>28</xdr:col>
                    <xdr:colOff>47625</xdr:colOff>
                    <xdr:row>47</xdr:row>
                    <xdr:rowOff>38100</xdr:rowOff>
                  </from>
                  <to>
                    <xdr:col>28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92" name="Check Box 891">
              <controlPr defaultSize="0" autoFill="0" autoLine="0" autoPict="0">
                <anchor moveWithCells="1">
                  <from>
                    <xdr:col>29</xdr:col>
                    <xdr:colOff>47625</xdr:colOff>
                    <xdr:row>47</xdr:row>
                    <xdr:rowOff>38100</xdr:rowOff>
                  </from>
                  <to>
                    <xdr:col>29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93" name="Check Box 892">
              <controlPr defaultSize="0" autoFill="0" autoLine="0" autoPict="0">
                <anchor moveWithCells="1">
                  <from>
                    <xdr:col>30</xdr:col>
                    <xdr:colOff>47625</xdr:colOff>
                    <xdr:row>47</xdr:row>
                    <xdr:rowOff>38100</xdr:rowOff>
                  </from>
                  <to>
                    <xdr:col>30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94" name="Check Box 893">
              <controlPr defaultSize="0" autoFill="0" autoLine="0" autoPict="0">
                <anchor moveWithCells="1">
                  <from>
                    <xdr:col>31</xdr:col>
                    <xdr:colOff>47625</xdr:colOff>
                    <xdr:row>47</xdr:row>
                    <xdr:rowOff>38100</xdr:rowOff>
                  </from>
                  <to>
                    <xdr:col>31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95" name="Check Box 894">
              <controlPr defaultSize="0" autoFill="0" autoLine="0" autoPict="0">
                <anchor moveWithCells="1">
                  <from>
                    <xdr:col>32</xdr:col>
                    <xdr:colOff>47625</xdr:colOff>
                    <xdr:row>47</xdr:row>
                    <xdr:rowOff>38100</xdr:rowOff>
                  </from>
                  <to>
                    <xdr:col>32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96" name="Check Box 895">
              <controlPr defaultSize="0" autoFill="0" autoLine="0" autoPict="0">
                <anchor moveWithCells="1">
                  <from>
                    <xdr:col>33</xdr:col>
                    <xdr:colOff>47625</xdr:colOff>
                    <xdr:row>47</xdr:row>
                    <xdr:rowOff>38100</xdr:rowOff>
                  </from>
                  <to>
                    <xdr:col>33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97" name="Check Box 896">
              <controlPr defaultSize="0" autoFill="0" autoLine="0" autoPict="0">
                <anchor moveWithCells="1">
                  <from>
                    <xdr:col>34</xdr:col>
                    <xdr:colOff>47625</xdr:colOff>
                    <xdr:row>47</xdr:row>
                    <xdr:rowOff>38100</xdr:rowOff>
                  </from>
                  <to>
                    <xdr:col>34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98" name="Check Box 897">
              <controlPr defaultSize="0" autoFill="0" autoLine="0" autoPict="0">
                <anchor moveWithCells="1">
                  <from>
                    <xdr:col>35</xdr:col>
                    <xdr:colOff>47625</xdr:colOff>
                    <xdr:row>47</xdr:row>
                    <xdr:rowOff>38100</xdr:rowOff>
                  </from>
                  <to>
                    <xdr:col>35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899" name="Check Box 898">
              <controlPr defaultSize="0" autoFill="0" autoLine="0" autoPict="0">
                <anchor moveWithCells="1">
                  <from>
                    <xdr:col>36</xdr:col>
                    <xdr:colOff>47625</xdr:colOff>
                    <xdr:row>47</xdr:row>
                    <xdr:rowOff>38100</xdr:rowOff>
                  </from>
                  <to>
                    <xdr:col>36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900" name="Check Box 899">
              <controlPr defaultSize="0" autoFill="0" autoLine="0" autoPict="0">
                <anchor moveWithCells="1">
                  <from>
                    <xdr:col>37</xdr:col>
                    <xdr:colOff>47625</xdr:colOff>
                    <xdr:row>47</xdr:row>
                    <xdr:rowOff>38100</xdr:rowOff>
                  </from>
                  <to>
                    <xdr:col>37</xdr:col>
                    <xdr:colOff>342900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901" name="Check Box 900">
              <controlPr defaultSize="0" autoFill="0" autoLine="0" autoPict="0">
                <anchor moveWithCells="1">
                  <from>
                    <xdr:col>7</xdr:col>
                    <xdr:colOff>47625</xdr:colOff>
                    <xdr:row>48</xdr:row>
                    <xdr:rowOff>38100</xdr:rowOff>
                  </from>
                  <to>
                    <xdr:col>7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902" name="Check Box 901">
              <controlPr defaultSize="0" autoFill="0" autoLine="0" autoPict="0">
                <anchor moveWithCells="1">
                  <from>
                    <xdr:col>8</xdr:col>
                    <xdr:colOff>47625</xdr:colOff>
                    <xdr:row>48</xdr:row>
                    <xdr:rowOff>38100</xdr:rowOff>
                  </from>
                  <to>
                    <xdr:col>8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903" name="Check Box 902">
              <controlPr defaultSize="0" autoFill="0" autoLine="0" autoPict="0">
                <anchor moveWithCells="1">
                  <from>
                    <xdr:col>9</xdr:col>
                    <xdr:colOff>47625</xdr:colOff>
                    <xdr:row>48</xdr:row>
                    <xdr:rowOff>38100</xdr:rowOff>
                  </from>
                  <to>
                    <xdr:col>9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904" name="Check Box 903">
              <controlPr defaultSize="0" autoFill="0" autoLine="0" autoPict="0">
                <anchor moveWithCells="1">
                  <from>
                    <xdr:col>10</xdr:col>
                    <xdr:colOff>47625</xdr:colOff>
                    <xdr:row>48</xdr:row>
                    <xdr:rowOff>38100</xdr:rowOff>
                  </from>
                  <to>
                    <xdr:col>10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905" name="Check Box 904">
              <controlPr defaultSize="0" autoFill="0" autoLine="0" autoPict="0">
                <anchor moveWithCells="1">
                  <from>
                    <xdr:col>11</xdr:col>
                    <xdr:colOff>47625</xdr:colOff>
                    <xdr:row>48</xdr:row>
                    <xdr:rowOff>38100</xdr:rowOff>
                  </from>
                  <to>
                    <xdr:col>11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906" name="Check Box 905">
              <controlPr defaultSize="0" autoFill="0" autoLine="0" autoPict="0">
                <anchor moveWithCells="1">
                  <from>
                    <xdr:col>12</xdr:col>
                    <xdr:colOff>47625</xdr:colOff>
                    <xdr:row>48</xdr:row>
                    <xdr:rowOff>38100</xdr:rowOff>
                  </from>
                  <to>
                    <xdr:col>12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907" name="Check Box 906">
              <controlPr defaultSize="0" autoFill="0" autoLine="0" autoPict="0">
                <anchor moveWithCells="1">
                  <from>
                    <xdr:col>13</xdr:col>
                    <xdr:colOff>47625</xdr:colOff>
                    <xdr:row>48</xdr:row>
                    <xdr:rowOff>38100</xdr:rowOff>
                  </from>
                  <to>
                    <xdr:col>13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908" name="Check Box 907">
              <controlPr defaultSize="0" autoFill="0" autoLine="0" autoPict="0">
                <anchor moveWithCells="1">
                  <from>
                    <xdr:col>14</xdr:col>
                    <xdr:colOff>47625</xdr:colOff>
                    <xdr:row>48</xdr:row>
                    <xdr:rowOff>38100</xdr:rowOff>
                  </from>
                  <to>
                    <xdr:col>14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909" name="Check Box 908">
              <controlPr defaultSize="0" autoFill="0" autoLine="0" autoPict="0">
                <anchor moveWithCells="1">
                  <from>
                    <xdr:col>15</xdr:col>
                    <xdr:colOff>47625</xdr:colOff>
                    <xdr:row>48</xdr:row>
                    <xdr:rowOff>38100</xdr:rowOff>
                  </from>
                  <to>
                    <xdr:col>15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910" name="Check Box 909">
              <controlPr defaultSize="0" autoFill="0" autoLine="0" autoPict="0">
                <anchor moveWithCells="1">
                  <from>
                    <xdr:col>16</xdr:col>
                    <xdr:colOff>47625</xdr:colOff>
                    <xdr:row>48</xdr:row>
                    <xdr:rowOff>38100</xdr:rowOff>
                  </from>
                  <to>
                    <xdr:col>16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911" name="Check Box 910">
              <controlPr defaultSize="0" autoFill="0" autoLine="0" autoPict="0">
                <anchor moveWithCells="1">
                  <from>
                    <xdr:col>17</xdr:col>
                    <xdr:colOff>47625</xdr:colOff>
                    <xdr:row>48</xdr:row>
                    <xdr:rowOff>38100</xdr:rowOff>
                  </from>
                  <to>
                    <xdr:col>17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912" name="Check Box 911">
              <controlPr defaultSize="0" autoFill="0" autoLine="0" autoPict="0">
                <anchor moveWithCells="1">
                  <from>
                    <xdr:col>18</xdr:col>
                    <xdr:colOff>47625</xdr:colOff>
                    <xdr:row>48</xdr:row>
                    <xdr:rowOff>38100</xdr:rowOff>
                  </from>
                  <to>
                    <xdr:col>18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913" name="Check Box 912">
              <controlPr defaultSize="0" autoFill="0" autoLine="0" autoPict="0">
                <anchor moveWithCells="1">
                  <from>
                    <xdr:col>19</xdr:col>
                    <xdr:colOff>47625</xdr:colOff>
                    <xdr:row>48</xdr:row>
                    <xdr:rowOff>38100</xdr:rowOff>
                  </from>
                  <to>
                    <xdr:col>19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914" name="Check Box 913">
              <controlPr defaultSize="0" autoFill="0" autoLine="0" autoPict="0">
                <anchor moveWithCells="1">
                  <from>
                    <xdr:col>20</xdr:col>
                    <xdr:colOff>47625</xdr:colOff>
                    <xdr:row>48</xdr:row>
                    <xdr:rowOff>38100</xdr:rowOff>
                  </from>
                  <to>
                    <xdr:col>20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915" name="Check Box 914">
              <controlPr defaultSize="0" autoFill="0" autoLine="0" autoPict="0">
                <anchor moveWithCells="1">
                  <from>
                    <xdr:col>21</xdr:col>
                    <xdr:colOff>47625</xdr:colOff>
                    <xdr:row>48</xdr:row>
                    <xdr:rowOff>38100</xdr:rowOff>
                  </from>
                  <to>
                    <xdr:col>21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916" name="Check Box 915">
              <controlPr defaultSize="0" autoFill="0" autoLine="0" autoPict="0">
                <anchor moveWithCells="1">
                  <from>
                    <xdr:col>22</xdr:col>
                    <xdr:colOff>47625</xdr:colOff>
                    <xdr:row>48</xdr:row>
                    <xdr:rowOff>38100</xdr:rowOff>
                  </from>
                  <to>
                    <xdr:col>22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917" name="Check Box 916">
              <controlPr defaultSize="0" autoFill="0" autoLine="0" autoPict="0">
                <anchor moveWithCells="1">
                  <from>
                    <xdr:col>23</xdr:col>
                    <xdr:colOff>47625</xdr:colOff>
                    <xdr:row>48</xdr:row>
                    <xdr:rowOff>38100</xdr:rowOff>
                  </from>
                  <to>
                    <xdr:col>23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918" name="Check Box 917">
              <controlPr defaultSize="0" autoFill="0" autoLine="0" autoPict="0">
                <anchor moveWithCells="1">
                  <from>
                    <xdr:col>24</xdr:col>
                    <xdr:colOff>47625</xdr:colOff>
                    <xdr:row>48</xdr:row>
                    <xdr:rowOff>38100</xdr:rowOff>
                  </from>
                  <to>
                    <xdr:col>24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919" name="Check Box 918">
              <controlPr defaultSize="0" autoFill="0" autoLine="0" autoPict="0">
                <anchor moveWithCells="1">
                  <from>
                    <xdr:col>25</xdr:col>
                    <xdr:colOff>47625</xdr:colOff>
                    <xdr:row>48</xdr:row>
                    <xdr:rowOff>38100</xdr:rowOff>
                  </from>
                  <to>
                    <xdr:col>25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920" name="Check Box 919">
              <controlPr defaultSize="0" autoFill="0" autoLine="0" autoPict="0">
                <anchor moveWithCells="1">
                  <from>
                    <xdr:col>26</xdr:col>
                    <xdr:colOff>47625</xdr:colOff>
                    <xdr:row>48</xdr:row>
                    <xdr:rowOff>38100</xdr:rowOff>
                  </from>
                  <to>
                    <xdr:col>26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921" name="Check Box 920">
              <controlPr defaultSize="0" autoFill="0" autoLine="0" autoPict="0">
                <anchor moveWithCells="1">
                  <from>
                    <xdr:col>27</xdr:col>
                    <xdr:colOff>47625</xdr:colOff>
                    <xdr:row>48</xdr:row>
                    <xdr:rowOff>38100</xdr:rowOff>
                  </from>
                  <to>
                    <xdr:col>27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922" name="Check Box 921">
              <controlPr defaultSize="0" autoFill="0" autoLine="0" autoPict="0">
                <anchor moveWithCells="1">
                  <from>
                    <xdr:col>28</xdr:col>
                    <xdr:colOff>47625</xdr:colOff>
                    <xdr:row>48</xdr:row>
                    <xdr:rowOff>38100</xdr:rowOff>
                  </from>
                  <to>
                    <xdr:col>28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923" name="Check Box 922">
              <controlPr defaultSize="0" autoFill="0" autoLine="0" autoPict="0">
                <anchor moveWithCells="1">
                  <from>
                    <xdr:col>29</xdr:col>
                    <xdr:colOff>47625</xdr:colOff>
                    <xdr:row>48</xdr:row>
                    <xdr:rowOff>38100</xdr:rowOff>
                  </from>
                  <to>
                    <xdr:col>29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924" name="Check Box 923">
              <controlPr defaultSize="0" autoFill="0" autoLine="0" autoPict="0">
                <anchor moveWithCells="1">
                  <from>
                    <xdr:col>30</xdr:col>
                    <xdr:colOff>47625</xdr:colOff>
                    <xdr:row>48</xdr:row>
                    <xdr:rowOff>38100</xdr:rowOff>
                  </from>
                  <to>
                    <xdr:col>30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925" name="Check Box 924">
              <controlPr defaultSize="0" autoFill="0" autoLine="0" autoPict="0">
                <anchor moveWithCells="1">
                  <from>
                    <xdr:col>31</xdr:col>
                    <xdr:colOff>47625</xdr:colOff>
                    <xdr:row>48</xdr:row>
                    <xdr:rowOff>38100</xdr:rowOff>
                  </from>
                  <to>
                    <xdr:col>31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926" name="Check Box 925">
              <controlPr defaultSize="0" autoFill="0" autoLine="0" autoPict="0">
                <anchor moveWithCells="1">
                  <from>
                    <xdr:col>32</xdr:col>
                    <xdr:colOff>47625</xdr:colOff>
                    <xdr:row>48</xdr:row>
                    <xdr:rowOff>38100</xdr:rowOff>
                  </from>
                  <to>
                    <xdr:col>32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927" name="Check Box 926">
              <controlPr defaultSize="0" autoFill="0" autoLine="0" autoPict="0">
                <anchor moveWithCells="1">
                  <from>
                    <xdr:col>33</xdr:col>
                    <xdr:colOff>47625</xdr:colOff>
                    <xdr:row>48</xdr:row>
                    <xdr:rowOff>38100</xdr:rowOff>
                  </from>
                  <to>
                    <xdr:col>33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928" name="Check Box 927">
              <controlPr defaultSize="0" autoFill="0" autoLine="0" autoPict="0">
                <anchor moveWithCells="1">
                  <from>
                    <xdr:col>34</xdr:col>
                    <xdr:colOff>47625</xdr:colOff>
                    <xdr:row>48</xdr:row>
                    <xdr:rowOff>38100</xdr:rowOff>
                  </from>
                  <to>
                    <xdr:col>34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929" name="Check Box 928">
              <controlPr defaultSize="0" autoFill="0" autoLine="0" autoPict="0">
                <anchor moveWithCells="1">
                  <from>
                    <xdr:col>35</xdr:col>
                    <xdr:colOff>47625</xdr:colOff>
                    <xdr:row>48</xdr:row>
                    <xdr:rowOff>38100</xdr:rowOff>
                  </from>
                  <to>
                    <xdr:col>35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930" name="Check Box 929">
              <controlPr defaultSize="0" autoFill="0" autoLine="0" autoPict="0">
                <anchor moveWithCells="1">
                  <from>
                    <xdr:col>36</xdr:col>
                    <xdr:colOff>47625</xdr:colOff>
                    <xdr:row>48</xdr:row>
                    <xdr:rowOff>38100</xdr:rowOff>
                  </from>
                  <to>
                    <xdr:col>36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931" name="Check Box 930">
              <controlPr defaultSize="0" autoFill="0" autoLine="0" autoPict="0">
                <anchor moveWithCells="1">
                  <from>
                    <xdr:col>37</xdr:col>
                    <xdr:colOff>47625</xdr:colOff>
                    <xdr:row>48</xdr:row>
                    <xdr:rowOff>38100</xdr:rowOff>
                  </from>
                  <to>
                    <xdr:col>37</xdr:col>
                    <xdr:colOff>342900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932" name="Check Box 931">
              <controlPr defaultSize="0" autoFill="0" autoLine="0" autoPict="0">
                <anchor moveWithCells="1">
                  <from>
                    <xdr:col>7</xdr:col>
                    <xdr:colOff>47625</xdr:colOff>
                    <xdr:row>49</xdr:row>
                    <xdr:rowOff>38100</xdr:rowOff>
                  </from>
                  <to>
                    <xdr:col>7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933" name="Check Box 932">
              <controlPr defaultSize="0" autoFill="0" autoLine="0" autoPict="0">
                <anchor moveWithCells="1">
                  <from>
                    <xdr:col>8</xdr:col>
                    <xdr:colOff>47625</xdr:colOff>
                    <xdr:row>49</xdr:row>
                    <xdr:rowOff>38100</xdr:rowOff>
                  </from>
                  <to>
                    <xdr:col>8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934" name="Check Box 933">
              <controlPr defaultSize="0" autoFill="0" autoLine="0" autoPict="0">
                <anchor moveWithCells="1">
                  <from>
                    <xdr:col>9</xdr:col>
                    <xdr:colOff>47625</xdr:colOff>
                    <xdr:row>49</xdr:row>
                    <xdr:rowOff>38100</xdr:rowOff>
                  </from>
                  <to>
                    <xdr:col>9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935" name="Check Box 934">
              <controlPr defaultSize="0" autoFill="0" autoLine="0" autoPict="0">
                <anchor moveWithCells="1">
                  <from>
                    <xdr:col>10</xdr:col>
                    <xdr:colOff>47625</xdr:colOff>
                    <xdr:row>49</xdr:row>
                    <xdr:rowOff>38100</xdr:rowOff>
                  </from>
                  <to>
                    <xdr:col>10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936" name="Check Box 935">
              <controlPr defaultSize="0" autoFill="0" autoLine="0" autoPict="0">
                <anchor moveWithCells="1">
                  <from>
                    <xdr:col>11</xdr:col>
                    <xdr:colOff>47625</xdr:colOff>
                    <xdr:row>49</xdr:row>
                    <xdr:rowOff>38100</xdr:rowOff>
                  </from>
                  <to>
                    <xdr:col>11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937" name="Check Box 936">
              <controlPr defaultSize="0" autoFill="0" autoLine="0" autoPict="0">
                <anchor moveWithCells="1">
                  <from>
                    <xdr:col>12</xdr:col>
                    <xdr:colOff>47625</xdr:colOff>
                    <xdr:row>49</xdr:row>
                    <xdr:rowOff>38100</xdr:rowOff>
                  </from>
                  <to>
                    <xdr:col>12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938" name="Check Box 937">
              <controlPr defaultSize="0" autoFill="0" autoLine="0" autoPict="0">
                <anchor moveWithCells="1">
                  <from>
                    <xdr:col>13</xdr:col>
                    <xdr:colOff>47625</xdr:colOff>
                    <xdr:row>49</xdr:row>
                    <xdr:rowOff>38100</xdr:rowOff>
                  </from>
                  <to>
                    <xdr:col>13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939" name="Check Box 938">
              <controlPr defaultSize="0" autoFill="0" autoLine="0" autoPict="0">
                <anchor moveWithCells="1">
                  <from>
                    <xdr:col>14</xdr:col>
                    <xdr:colOff>47625</xdr:colOff>
                    <xdr:row>49</xdr:row>
                    <xdr:rowOff>38100</xdr:rowOff>
                  </from>
                  <to>
                    <xdr:col>14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940" name="Check Box 939">
              <controlPr defaultSize="0" autoFill="0" autoLine="0" autoPict="0">
                <anchor moveWithCells="1">
                  <from>
                    <xdr:col>15</xdr:col>
                    <xdr:colOff>47625</xdr:colOff>
                    <xdr:row>49</xdr:row>
                    <xdr:rowOff>38100</xdr:rowOff>
                  </from>
                  <to>
                    <xdr:col>15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941" name="Check Box 940">
              <controlPr defaultSize="0" autoFill="0" autoLine="0" autoPict="0">
                <anchor moveWithCells="1">
                  <from>
                    <xdr:col>16</xdr:col>
                    <xdr:colOff>47625</xdr:colOff>
                    <xdr:row>49</xdr:row>
                    <xdr:rowOff>38100</xdr:rowOff>
                  </from>
                  <to>
                    <xdr:col>16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942" name="Check Box 941">
              <controlPr defaultSize="0" autoFill="0" autoLine="0" autoPict="0">
                <anchor moveWithCells="1">
                  <from>
                    <xdr:col>17</xdr:col>
                    <xdr:colOff>47625</xdr:colOff>
                    <xdr:row>49</xdr:row>
                    <xdr:rowOff>38100</xdr:rowOff>
                  </from>
                  <to>
                    <xdr:col>17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943" name="Check Box 942">
              <controlPr defaultSize="0" autoFill="0" autoLine="0" autoPict="0">
                <anchor moveWithCells="1">
                  <from>
                    <xdr:col>18</xdr:col>
                    <xdr:colOff>47625</xdr:colOff>
                    <xdr:row>49</xdr:row>
                    <xdr:rowOff>38100</xdr:rowOff>
                  </from>
                  <to>
                    <xdr:col>18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944" name="Check Box 943">
              <controlPr defaultSize="0" autoFill="0" autoLine="0" autoPict="0">
                <anchor moveWithCells="1">
                  <from>
                    <xdr:col>19</xdr:col>
                    <xdr:colOff>47625</xdr:colOff>
                    <xdr:row>49</xdr:row>
                    <xdr:rowOff>38100</xdr:rowOff>
                  </from>
                  <to>
                    <xdr:col>19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945" name="Check Box 944">
              <controlPr defaultSize="0" autoFill="0" autoLine="0" autoPict="0">
                <anchor moveWithCells="1">
                  <from>
                    <xdr:col>20</xdr:col>
                    <xdr:colOff>47625</xdr:colOff>
                    <xdr:row>49</xdr:row>
                    <xdr:rowOff>38100</xdr:rowOff>
                  </from>
                  <to>
                    <xdr:col>20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946" name="Check Box 945">
              <controlPr defaultSize="0" autoFill="0" autoLine="0" autoPict="0">
                <anchor moveWithCells="1">
                  <from>
                    <xdr:col>21</xdr:col>
                    <xdr:colOff>47625</xdr:colOff>
                    <xdr:row>49</xdr:row>
                    <xdr:rowOff>38100</xdr:rowOff>
                  </from>
                  <to>
                    <xdr:col>21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947" name="Check Box 946">
              <controlPr defaultSize="0" autoFill="0" autoLine="0" autoPict="0">
                <anchor moveWithCells="1">
                  <from>
                    <xdr:col>22</xdr:col>
                    <xdr:colOff>47625</xdr:colOff>
                    <xdr:row>49</xdr:row>
                    <xdr:rowOff>38100</xdr:rowOff>
                  </from>
                  <to>
                    <xdr:col>22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948" name="Check Box 947">
              <controlPr defaultSize="0" autoFill="0" autoLine="0" autoPict="0">
                <anchor moveWithCells="1">
                  <from>
                    <xdr:col>23</xdr:col>
                    <xdr:colOff>47625</xdr:colOff>
                    <xdr:row>49</xdr:row>
                    <xdr:rowOff>38100</xdr:rowOff>
                  </from>
                  <to>
                    <xdr:col>23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949" name="Check Box 948">
              <controlPr defaultSize="0" autoFill="0" autoLine="0" autoPict="0">
                <anchor moveWithCells="1">
                  <from>
                    <xdr:col>24</xdr:col>
                    <xdr:colOff>47625</xdr:colOff>
                    <xdr:row>49</xdr:row>
                    <xdr:rowOff>38100</xdr:rowOff>
                  </from>
                  <to>
                    <xdr:col>24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950" name="Check Box 949">
              <controlPr defaultSize="0" autoFill="0" autoLine="0" autoPict="0">
                <anchor moveWithCells="1">
                  <from>
                    <xdr:col>25</xdr:col>
                    <xdr:colOff>47625</xdr:colOff>
                    <xdr:row>49</xdr:row>
                    <xdr:rowOff>38100</xdr:rowOff>
                  </from>
                  <to>
                    <xdr:col>25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951" name="Check Box 950">
              <controlPr defaultSize="0" autoFill="0" autoLine="0" autoPict="0">
                <anchor moveWithCells="1">
                  <from>
                    <xdr:col>26</xdr:col>
                    <xdr:colOff>47625</xdr:colOff>
                    <xdr:row>49</xdr:row>
                    <xdr:rowOff>38100</xdr:rowOff>
                  </from>
                  <to>
                    <xdr:col>26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952" name="Check Box 951">
              <controlPr defaultSize="0" autoFill="0" autoLine="0" autoPict="0">
                <anchor moveWithCells="1">
                  <from>
                    <xdr:col>27</xdr:col>
                    <xdr:colOff>47625</xdr:colOff>
                    <xdr:row>49</xdr:row>
                    <xdr:rowOff>38100</xdr:rowOff>
                  </from>
                  <to>
                    <xdr:col>27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953" name="Check Box 952">
              <controlPr defaultSize="0" autoFill="0" autoLine="0" autoPict="0">
                <anchor moveWithCells="1">
                  <from>
                    <xdr:col>28</xdr:col>
                    <xdr:colOff>47625</xdr:colOff>
                    <xdr:row>49</xdr:row>
                    <xdr:rowOff>38100</xdr:rowOff>
                  </from>
                  <to>
                    <xdr:col>28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954" name="Check Box 953">
              <controlPr defaultSize="0" autoFill="0" autoLine="0" autoPict="0">
                <anchor moveWithCells="1">
                  <from>
                    <xdr:col>29</xdr:col>
                    <xdr:colOff>47625</xdr:colOff>
                    <xdr:row>49</xdr:row>
                    <xdr:rowOff>38100</xdr:rowOff>
                  </from>
                  <to>
                    <xdr:col>29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955" name="Check Box 954">
              <controlPr defaultSize="0" autoFill="0" autoLine="0" autoPict="0">
                <anchor moveWithCells="1">
                  <from>
                    <xdr:col>30</xdr:col>
                    <xdr:colOff>47625</xdr:colOff>
                    <xdr:row>49</xdr:row>
                    <xdr:rowOff>38100</xdr:rowOff>
                  </from>
                  <to>
                    <xdr:col>30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956" name="Check Box 955">
              <controlPr defaultSize="0" autoFill="0" autoLine="0" autoPict="0">
                <anchor moveWithCells="1">
                  <from>
                    <xdr:col>31</xdr:col>
                    <xdr:colOff>47625</xdr:colOff>
                    <xdr:row>49</xdr:row>
                    <xdr:rowOff>38100</xdr:rowOff>
                  </from>
                  <to>
                    <xdr:col>31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957" name="Check Box 956">
              <controlPr defaultSize="0" autoFill="0" autoLine="0" autoPict="0">
                <anchor moveWithCells="1">
                  <from>
                    <xdr:col>32</xdr:col>
                    <xdr:colOff>47625</xdr:colOff>
                    <xdr:row>49</xdr:row>
                    <xdr:rowOff>38100</xdr:rowOff>
                  </from>
                  <to>
                    <xdr:col>32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958" name="Check Box 957">
              <controlPr defaultSize="0" autoFill="0" autoLine="0" autoPict="0">
                <anchor moveWithCells="1">
                  <from>
                    <xdr:col>33</xdr:col>
                    <xdr:colOff>47625</xdr:colOff>
                    <xdr:row>49</xdr:row>
                    <xdr:rowOff>38100</xdr:rowOff>
                  </from>
                  <to>
                    <xdr:col>33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959" name="Check Box 958">
              <controlPr defaultSize="0" autoFill="0" autoLine="0" autoPict="0">
                <anchor moveWithCells="1">
                  <from>
                    <xdr:col>34</xdr:col>
                    <xdr:colOff>47625</xdr:colOff>
                    <xdr:row>49</xdr:row>
                    <xdr:rowOff>38100</xdr:rowOff>
                  </from>
                  <to>
                    <xdr:col>34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960" name="Check Box 959">
              <controlPr defaultSize="0" autoFill="0" autoLine="0" autoPict="0">
                <anchor moveWithCells="1">
                  <from>
                    <xdr:col>35</xdr:col>
                    <xdr:colOff>47625</xdr:colOff>
                    <xdr:row>49</xdr:row>
                    <xdr:rowOff>38100</xdr:rowOff>
                  </from>
                  <to>
                    <xdr:col>35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961" name="Check Box 960">
              <controlPr defaultSize="0" autoFill="0" autoLine="0" autoPict="0">
                <anchor moveWithCells="1">
                  <from>
                    <xdr:col>36</xdr:col>
                    <xdr:colOff>47625</xdr:colOff>
                    <xdr:row>49</xdr:row>
                    <xdr:rowOff>38100</xdr:rowOff>
                  </from>
                  <to>
                    <xdr:col>36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962" name="Check Box 961">
              <controlPr defaultSize="0" autoFill="0" autoLine="0" autoPict="0">
                <anchor moveWithCells="1">
                  <from>
                    <xdr:col>37</xdr:col>
                    <xdr:colOff>47625</xdr:colOff>
                    <xdr:row>49</xdr:row>
                    <xdr:rowOff>38100</xdr:rowOff>
                  </from>
                  <to>
                    <xdr:col>37</xdr:col>
                    <xdr:colOff>342900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963" name="Check Box 962">
              <controlPr defaultSize="0" autoFill="0" autoLine="0" autoPict="0">
                <anchor moveWithCells="1">
                  <from>
                    <xdr:col>7</xdr:col>
                    <xdr:colOff>47625</xdr:colOff>
                    <xdr:row>50</xdr:row>
                    <xdr:rowOff>38100</xdr:rowOff>
                  </from>
                  <to>
                    <xdr:col>7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964" name="Check Box 963">
              <controlPr defaultSize="0" autoFill="0" autoLine="0" autoPict="0">
                <anchor moveWithCells="1">
                  <from>
                    <xdr:col>8</xdr:col>
                    <xdr:colOff>47625</xdr:colOff>
                    <xdr:row>50</xdr:row>
                    <xdr:rowOff>38100</xdr:rowOff>
                  </from>
                  <to>
                    <xdr:col>8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965" name="Check Box 964">
              <controlPr defaultSize="0" autoFill="0" autoLine="0" autoPict="0">
                <anchor moveWithCells="1">
                  <from>
                    <xdr:col>9</xdr:col>
                    <xdr:colOff>47625</xdr:colOff>
                    <xdr:row>50</xdr:row>
                    <xdr:rowOff>38100</xdr:rowOff>
                  </from>
                  <to>
                    <xdr:col>9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966" name="Check Box 965">
              <controlPr defaultSize="0" autoFill="0" autoLine="0" autoPict="0">
                <anchor moveWithCells="1">
                  <from>
                    <xdr:col>10</xdr:col>
                    <xdr:colOff>47625</xdr:colOff>
                    <xdr:row>50</xdr:row>
                    <xdr:rowOff>38100</xdr:rowOff>
                  </from>
                  <to>
                    <xdr:col>10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967" name="Check Box 966">
              <controlPr defaultSize="0" autoFill="0" autoLine="0" autoPict="0">
                <anchor moveWithCells="1">
                  <from>
                    <xdr:col>11</xdr:col>
                    <xdr:colOff>47625</xdr:colOff>
                    <xdr:row>50</xdr:row>
                    <xdr:rowOff>38100</xdr:rowOff>
                  </from>
                  <to>
                    <xdr:col>11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968" name="Check Box 967">
              <controlPr defaultSize="0" autoFill="0" autoLine="0" autoPict="0">
                <anchor moveWithCells="1">
                  <from>
                    <xdr:col>12</xdr:col>
                    <xdr:colOff>47625</xdr:colOff>
                    <xdr:row>50</xdr:row>
                    <xdr:rowOff>38100</xdr:rowOff>
                  </from>
                  <to>
                    <xdr:col>12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969" name="Check Box 968">
              <controlPr defaultSize="0" autoFill="0" autoLine="0" autoPict="0">
                <anchor moveWithCells="1">
                  <from>
                    <xdr:col>13</xdr:col>
                    <xdr:colOff>47625</xdr:colOff>
                    <xdr:row>50</xdr:row>
                    <xdr:rowOff>38100</xdr:rowOff>
                  </from>
                  <to>
                    <xdr:col>13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970" name="Check Box 969">
              <controlPr defaultSize="0" autoFill="0" autoLine="0" autoPict="0">
                <anchor moveWithCells="1">
                  <from>
                    <xdr:col>14</xdr:col>
                    <xdr:colOff>47625</xdr:colOff>
                    <xdr:row>50</xdr:row>
                    <xdr:rowOff>38100</xdr:rowOff>
                  </from>
                  <to>
                    <xdr:col>14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971" name="Check Box 970">
              <controlPr defaultSize="0" autoFill="0" autoLine="0" autoPict="0">
                <anchor moveWithCells="1">
                  <from>
                    <xdr:col>15</xdr:col>
                    <xdr:colOff>47625</xdr:colOff>
                    <xdr:row>50</xdr:row>
                    <xdr:rowOff>38100</xdr:rowOff>
                  </from>
                  <to>
                    <xdr:col>15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972" name="Check Box 971">
              <controlPr defaultSize="0" autoFill="0" autoLine="0" autoPict="0">
                <anchor moveWithCells="1">
                  <from>
                    <xdr:col>16</xdr:col>
                    <xdr:colOff>47625</xdr:colOff>
                    <xdr:row>50</xdr:row>
                    <xdr:rowOff>38100</xdr:rowOff>
                  </from>
                  <to>
                    <xdr:col>16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973" name="Check Box 972">
              <controlPr defaultSize="0" autoFill="0" autoLine="0" autoPict="0">
                <anchor moveWithCells="1">
                  <from>
                    <xdr:col>17</xdr:col>
                    <xdr:colOff>47625</xdr:colOff>
                    <xdr:row>50</xdr:row>
                    <xdr:rowOff>38100</xdr:rowOff>
                  </from>
                  <to>
                    <xdr:col>17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974" name="Check Box 973">
              <controlPr defaultSize="0" autoFill="0" autoLine="0" autoPict="0">
                <anchor moveWithCells="1">
                  <from>
                    <xdr:col>18</xdr:col>
                    <xdr:colOff>47625</xdr:colOff>
                    <xdr:row>50</xdr:row>
                    <xdr:rowOff>38100</xdr:rowOff>
                  </from>
                  <to>
                    <xdr:col>18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975" name="Check Box 974">
              <controlPr defaultSize="0" autoFill="0" autoLine="0" autoPict="0">
                <anchor moveWithCells="1">
                  <from>
                    <xdr:col>19</xdr:col>
                    <xdr:colOff>47625</xdr:colOff>
                    <xdr:row>50</xdr:row>
                    <xdr:rowOff>38100</xdr:rowOff>
                  </from>
                  <to>
                    <xdr:col>19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976" name="Check Box 975">
              <controlPr defaultSize="0" autoFill="0" autoLine="0" autoPict="0">
                <anchor moveWithCells="1">
                  <from>
                    <xdr:col>20</xdr:col>
                    <xdr:colOff>47625</xdr:colOff>
                    <xdr:row>50</xdr:row>
                    <xdr:rowOff>38100</xdr:rowOff>
                  </from>
                  <to>
                    <xdr:col>20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977" name="Check Box 976">
              <controlPr defaultSize="0" autoFill="0" autoLine="0" autoPict="0">
                <anchor moveWithCells="1">
                  <from>
                    <xdr:col>21</xdr:col>
                    <xdr:colOff>47625</xdr:colOff>
                    <xdr:row>50</xdr:row>
                    <xdr:rowOff>38100</xdr:rowOff>
                  </from>
                  <to>
                    <xdr:col>21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78" name="Check Box 977">
              <controlPr defaultSize="0" autoFill="0" autoLine="0" autoPict="0">
                <anchor moveWithCells="1">
                  <from>
                    <xdr:col>22</xdr:col>
                    <xdr:colOff>47625</xdr:colOff>
                    <xdr:row>50</xdr:row>
                    <xdr:rowOff>38100</xdr:rowOff>
                  </from>
                  <to>
                    <xdr:col>22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79" name="Check Box 978">
              <controlPr defaultSize="0" autoFill="0" autoLine="0" autoPict="0">
                <anchor moveWithCells="1">
                  <from>
                    <xdr:col>23</xdr:col>
                    <xdr:colOff>47625</xdr:colOff>
                    <xdr:row>50</xdr:row>
                    <xdr:rowOff>38100</xdr:rowOff>
                  </from>
                  <to>
                    <xdr:col>23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980" name="Check Box 979">
              <controlPr defaultSize="0" autoFill="0" autoLine="0" autoPict="0">
                <anchor moveWithCells="1">
                  <from>
                    <xdr:col>24</xdr:col>
                    <xdr:colOff>47625</xdr:colOff>
                    <xdr:row>50</xdr:row>
                    <xdr:rowOff>38100</xdr:rowOff>
                  </from>
                  <to>
                    <xdr:col>24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981" name="Check Box 980">
              <controlPr defaultSize="0" autoFill="0" autoLine="0" autoPict="0">
                <anchor moveWithCells="1">
                  <from>
                    <xdr:col>25</xdr:col>
                    <xdr:colOff>47625</xdr:colOff>
                    <xdr:row>50</xdr:row>
                    <xdr:rowOff>38100</xdr:rowOff>
                  </from>
                  <to>
                    <xdr:col>25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982" name="Check Box 981">
              <controlPr defaultSize="0" autoFill="0" autoLine="0" autoPict="0">
                <anchor moveWithCells="1">
                  <from>
                    <xdr:col>26</xdr:col>
                    <xdr:colOff>47625</xdr:colOff>
                    <xdr:row>50</xdr:row>
                    <xdr:rowOff>38100</xdr:rowOff>
                  </from>
                  <to>
                    <xdr:col>26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983" name="Check Box 982">
              <controlPr defaultSize="0" autoFill="0" autoLine="0" autoPict="0">
                <anchor moveWithCells="1">
                  <from>
                    <xdr:col>27</xdr:col>
                    <xdr:colOff>47625</xdr:colOff>
                    <xdr:row>50</xdr:row>
                    <xdr:rowOff>38100</xdr:rowOff>
                  </from>
                  <to>
                    <xdr:col>27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84" name="Check Box 983">
              <controlPr defaultSize="0" autoFill="0" autoLine="0" autoPict="0">
                <anchor moveWithCells="1">
                  <from>
                    <xdr:col>28</xdr:col>
                    <xdr:colOff>47625</xdr:colOff>
                    <xdr:row>50</xdr:row>
                    <xdr:rowOff>38100</xdr:rowOff>
                  </from>
                  <to>
                    <xdr:col>28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85" name="Check Box 984">
              <controlPr defaultSize="0" autoFill="0" autoLine="0" autoPict="0">
                <anchor moveWithCells="1">
                  <from>
                    <xdr:col>29</xdr:col>
                    <xdr:colOff>47625</xdr:colOff>
                    <xdr:row>50</xdr:row>
                    <xdr:rowOff>38100</xdr:rowOff>
                  </from>
                  <to>
                    <xdr:col>29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86" name="Check Box 985">
              <controlPr defaultSize="0" autoFill="0" autoLine="0" autoPict="0">
                <anchor moveWithCells="1">
                  <from>
                    <xdr:col>30</xdr:col>
                    <xdr:colOff>47625</xdr:colOff>
                    <xdr:row>50</xdr:row>
                    <xdr:rowOff>38100</xdr:rowOff>
                  </from>
                  <to>
                    <xdr:col>30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87" name="Check Box 986">
              <controlPr defaultSize="0" autoFill="0" autoLine="0" autoPict="0">
                <anchor moveWithCells="1">
                  <from>
                    <xdr:col>31</xdr:col>
                    <xdr:colOff>47625</xdr:colOff>
                    <xdr:row>50</xdr:row>
                    <xdr:rowOff>38100</xdr:rowOff>
                  </from>
                  <to>
                    <xdr:col>31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88" name="Check Box 987">
              <controlPr defaultSize="0" autoFill="0" autoLine="0" autoPict="0">
                <anchor moveWithCells="1">
                  <from>
                    <xdr:col>32</xdr:col>
                    <xdr:colOff>47625</xdr:colOff>
                    <xdr:row>50</xdr:row>
                    <xdr:rowOff>38100</xdr:rowOff>
                  </from>
                  <to>
                    <xdr:col>32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89" name="Check Box 988">
              <controlPr defaultSize="0" autoFill="0" autoLine="0" autoPict="0">
                <anchor moveWithCells="1">
                  <from>
                    <xdr:col>33</xdr:col>
                    <xdr:colOff>47625</xdr:colOff>
                    <xdr:row>50</xdr:row>
                    <xdr:rowOff>38100</xdr:rowOff>
                  </from>
                  <to>
                    <xdr:col>33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90" name="Check Box 989">
              <controlPr defaultSize="0" autoFill="0" autoLine="0" autoPict="0">
                <anchor moveWithCells="1">
                  <from>
                    <xdr:col>34</xdr:col>
                    <xdr:colOff>47625</xdr:colOff>
                    <xdr:row>50</xdr:row>
                    <xdr:rowOff>38100</xdr:rowOff>
                  </from>
                  <to>
                    <xdr:col>34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91" name="Check Box 990">
              <controlPr defaultSize="0" autoFill="0" autoLine="0" autoPict="0">
                <anchor moveWithCells="1">
                  <from>
                    <xdr:col>35</xdr:col>
                    <xdr:colOff>47625</xdr:colOff>
                    <xdr:row>50</xdr:row>
                    <xdr:rowOff>38100</xdr:rowOff>
                  </from>
                  <to>
                    <xdr:col>35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92" name="Check Box 991">
              <controlPr defaultSize="0" autoFill="0" autoLine="0" autoPict="0">
                <anchor moveWithCells="1">
                  <from>
                    <xdr:col>36</xdr:col>
                    <xdr:colOff>47625</xdr:colOff>
                    <xdr:row>50</xdr:row>
                    <xdr:rowOff>38100</xdr:rowOff>
                  </from>
                  <to>
                    <xdr:col>36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93" name="Check Box 992">
              <controlPr defaultSize="0" autoFill="0" autoLine="0" autoPict="0">
                <anchor moveWithCells="1">
                  <from>
                    <xdr:col>37</xdr:col>
                    <xdr:colOff>47625</xdr:colOff>
                    <xdr:row>50</xdr:row>
                    <xdr:rowOff>38100</xdr:rowOff>
                  </from>
                  <to>
                    <xdr:col>37</xdr:col>
                    <xdr:colOff>342900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94" name="Check Box 993">
              <controlPr defaultSize="0" autoFill="0" autoLine="0" autoPict="0">
                <anchor moveWithCells="1">
                  <from>
                    <xdr:col>7</xdr:col>
                    <xdr:colOff>47625</xdr:colOff>
                    <xdr:row>51</xdr:row>
                    <xdr:rowOff>38100</xdr:rowOff>
                  </from>
                  <to>
                    <xdr:col>7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95" name="Check Box 994">
              <controlPr defaultSize="0" autoFill="0" autoLine="0" autoPict="0">
                <anchor moveWithCells="1">
                  <from>
                    <xdr:col>8</xdr:col>
                    <xdr:colOff>47625</xdr:colOff>
                    <xdr:row>51</xdr:row>
                    <xdr:rowOff>38100</xdr:rowOff>
                  </from>
                  <to>
                    <xdr:col>8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96" name="Check Box 995">
              <controlPr defaultSize="0" autoFill="0" autoLine="0" autoPict="0">
                <anchor moveWithCells="1">
                  <from>
                    <xdr:col>9</xdr:col>
                    <xdr:colOff>47625</xdr:colOff>
                    <xdr:row>51</xdr:row>
                    <xdr:rowOff>38100</xdr:rowOff>
                  </from>
                  <to>
                    <xdr:col>9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97" name="Check Box 996">
              <controlPr defaultSize="0" autoFill="0" autoLine="0" autoPict="0">
                <anchor moveWithCells="1">
                  <from>
                    <xdr:col>10</xdr:col>
                    <xdr:colOff>47625</xdr:colOff>
                    <xdr:row>51</xdr:row>
                    <xdr:rowOff>38100</xdr:rowOff>
                  </from>
                  <to>
                    <xdr:col>10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98" name="Check Box 997">
              <controlPr defaultSize="0" autoFill="0" autoLine="0" autoPict="0">
                <anchor moveWithCells="1">
                  <from>
                    <xdr:col>11</xdr:col>
                    <xdr:colOff>47625</xdr:colOff>
                    <xdr:row>51</xdr:row>
                    <xdr:rowOff>38100</xdr:rowOff>
                  </from>
                  <to>
                    <xdr:col>11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999" name="Check Box 998">
              <controlPr defaultSize="0" autoFill="0" autoLine="0" autoPict="0">
                <anchor moveWithCells="1">
                  <from>
                    <xdr:col>12</xdr:col>
                    <xdr:colOff>47625</xdr:colOff>
                    <xdr:row>51</xdr:row>
                    <xdr:rowOff>38100</xdr:rowOff>
                  </from>
                  <to>
                    <xdr:col>12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1000" name="Check Box 999">
              <controlPr defaultSize="0" autoFill="0" autoLine="0" autoPict="0">
                <anchor moveWithCells="1">
                  <from>
                    <xdr:col>13</xdr:col>
                    <xdr:colOff>47625</xdr:colOff>
                    <xdr:row>51</xdr:row>
                    <xdr:rowOff>38100</xdr:rowOff>
                  </from>
                  <to>
                    <xdr:col>13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1001" name="Check Box 1000">
              <controlPr defaultSize="0" autoFill="0" autoLine="0" autoPict="0">
                <anchor moveWithCells="1">
                  <from>
                    <xdr:col>14</xdr:col>
                    <xdr:colOff>47625</xdr:colOff>
                    <xdr:row>51</xdr:row>
                    <xdr:rowOff>38100</xdr:rowOff>
                  </from>
                  <to>
                    <xdr:col>14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1002" name="Check Box 1001">
              <controlPr defaultSize="0" autoFill="0" autoLine="0" autoPict="0">
                <anchor moveWithCells="1">
                  <from>
                    <xdr:col>15</xdr:col>
                    <xdr:colOff>47625</xdr:colOff>
                    <xdr:row>51</xdr:row>
                    <xdr:rowOff>38100</xdr:rowOff>
                  </from>
                  <to>
                    <xdr:col>15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1003" name="Check Box 1002">
              <controlPr defaultSize="0" autoFill="0" autoLine="0" autoPict="0">
                <anchor moveWithCells="1">
                  <from>
                    <xdr:col>16</xdr:col>
                    <xdr:colOff>47625</xdr:colOff>
                    <xdr:row>51</xdr:row>
                    <xdr:rowOff>38100</xdr:rowOff>
                  </from>
                  <to>
                    <xdr:col>16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1004" name="Check Box 1003">
              <controlPr defaultSize="0" autoFill="0" autoLine="0" autoPict="0">
                <anchor moveWithCells="1">
                  <from>
                    <xdr:col>17</xdr:col>
                    <xdr:colOff>47625</xdr:colOff>
                    <xdr:row>51</xdr:row>
                    <xdr:rowOff>38100</xdr:rowOff>
                  </from>
                  <to>
                    <xdr:col>17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1005" name="Check Box 1004">
              <controlPr defaultSize="0" autoFill="0" autoLine="0" autoPict="0">
                <anchor moveWithCells="1">
                  <from>
                    <xdr:col>18</xdr:col>
                    <xdr:colOff>47625</xdr:colOff>
                    <xdr:row>51</xdr:row>
                    <xdr:rowOff>38100</xdr:rowOff>
                  </from>
                  <to>
                    <xdr:col>18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006" name="Check Box 1005">
              <controlPr defaultSize="0" autoFill="0" autoLine="0" autoPict="0">
                <anchor moveWithCells="1">
                  <from>
                    <xdr:col>19</xdr:col>
                    <xdr:colOff>47625</xdr:colOff>
                    <xdr:row>51</xdr:row>
                    <xdr:rowOff>38100</xdr:rowOff>
                  </from>
                  <to>
                    <xdr:col>19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007" name="Check Box 1006">
              <controlPr defaultSize="0" autoFill="0" autoLine="0" autoPict="0">
                <anchor moveWithCells="1">
                  <from>
                    <xdr:col>20</xdr:col>
                    <xdr:colOff>47625</xdr:colOff>
                    <xdr:row>51</xdr:row>
                    <xdr:rowOff>38100</xdr:rowOff>
                  </from>
                  <to>
                    <xdr:col>20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008" name="Check Box 1007">
              <controlPr defaultSize="0" autoFill="0" autoLine="0" autoPict="0">
                <anchor moveWithCells="1">
                  <from>
                    <xdr:col>21</xdr:col>
                    <xdr:colOff>47625</xdr:colOff>
                    <xdr:row>51</xdr:row>
                    <xdr:rowOff>38100</xdr:rowOff>
                  </from>
                  <to>
                    <xdr:col>21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009" name="Check Box 1008">
              <controlPr defaultSize="0" autoFill="0" autoLine="0" autoPict="0">
                <anchor moveWithCells="1">
                  <from>
                    <xdr:col>22</xdr:col>
                    <xdr:colOff>47625</xdr:colOff>
                    <xdr:row>51</xdr:row>
                    <xdr:rowOff>38100</xdr:rowOff>
                  </from>
                  <to>
                    <xdr:col>22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010" name="Check Box 1009">
              <controlPr defaultSize="0" autoFill="0" autoLine="0" autoPict="0">
                <anchor moveWithCells="1">
                  <from>
                    <xdr:col>23</xdr:col>
                    <xdr:colOff>47625</xdr:colOff>
                    <xdr:row>51</xdr:row>
                    <xdr:rowOff>38100</xdr:rowOff>
                  </from>
                  <to>
                    <xdr:col>23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011" name="Check Box 1010">
              <controlPr defaultSize="0" autoFill="0" autoLine="0" autoPict="0">
                <anchor moveWithCells="1">
                  <from>
                    <xdr:col>24</xdr:col>
                    <xdr:colOff>47625</xdr:colOff>
                    <xdr:row>51</xdr:row>
                    <xdr:rowOff>38100</xdr:rowOff>
                  </from>
                  <to>
                    <xdr:col>24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1012" name="Check Box 1011">
              <controlPr defaultSize="0" autoFill="0" autoLine="0" autoPict="0">
                <anchor moveWithCells="1">
                  <from>
                    <xdr:col>25</xdr:col>
                    <xdr:colOff>47625</xdr:colOff>
                    <xdr:row>51</xdr:row>
                    <xdr:rowOff>38100</xdr:rowOff>
                  </from>
                  <to>
                    <xdr:col>25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1013" name="Check Box 1012">
              <controlPr defaultSize="0" autoFill="0" autoLine="0" autoPict="0">
                <anchor moveWithCells="1">
                  <from>
                    <xdr:col>26</xdr:col>
                    <xdr:colOff>47625</xdr:colOff>
                    <xdr:row>51</xdr:row>
                    <xdr:rowOff>38100</xdr:rowOff>
                  </from>
                  <to>
                    <xdr:col>26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1014" name="Check Box 1013">
              <controlPr defaultSize="0" autoFill="0" autoLine="0" autoPict="0">
                <anchor moveWithCells="1">
                  <from>
                    <xdr:col>27</xdr:col>
                    <xdr:colOff>47625</xdr:colOff>
                    <xdr:row>51</xdr:row>
                    <xdr:rowOff>38100</xdr:rowOff>
                  </from>
                  <to>
                    <xdr:col>27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1015" name="Check Box 1014">
              <controlPr defaultSize="0" autoFill="0" autoLine="0" autoPict="0">
                <anchor moveWithCells="1">
                  <from>
                    <xdr:col>28</xdr:col>
                    <xdr:colOff>47625</xdr:colOff>
                    <xdr:row>51</xdr:row>
                    <xdr:rowOff>38100</xdr:rowOff>
                  </from>
                  <to>
                    <xdr:col>28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1016" name="Check Box 1015">
              <controlPr defaultSize="0" autoFill="0" autoLine="0" autoPict="0">
                <anchor moveWithCells="1">
                  <from>
                    <xdr:col>29</xdr:col>
                    <xdr:colOff>47625</xdr:colOff>
                    <xdr:row>51</xdr:row>
                    <xdr:rowOff>38100</xdr:rowOff>
                  </from>
                  <to>
                    <xdr:col>29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1017" name="Check Box 1016">
              <controlPr defaultSize="0" autoFill="0" autoLine="0" autoPict="0">
                <anchor moveWithCells="1">
                  <from>
                    <xdr:col>30</xdr:col>
                    <xdr:colOff>47625</xdr:colOff>
                    <xdr:row>51</xdr:row>
                    <xdr:rowOff>38100</xdr:rowOff>
                  </from>
                  <to>
                    <xdr:col>30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1018" name="Check Box 1017">
              <controlPr defaultSize="0" autoFill="0" autoLine="0" autoPict="0">
                <anchor moveWithCells="1">
                  <from>
                    <xdr:col>31</xdr:col>
                    <xdr:colOff>47625</xdr:colOff>
                    <xdr:row>51</xdr:row>
                    <xdr:rowOff>38100</xdr:rowOff>
                  </from>
                  <to>
                    <xdr:col>31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1019" name="Check Box 1018">
              <controlPr defaultSize="0" autoFill="0" autoLine="0" autoPict="0">
                <anchor moveWithCells="1">
                  <from>
                    <xdr:col>32</xdr:col>
                    <xdr:colOff>47625</xdr:colOff>
                    <xdr:row>51</xdr:row>
                    <xdr:rowOff>38100</xdr:rowOff>
                  </from>
                  <to>
                    <xdr:col>32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1020" name="Check Box 1019">
              <controlPr defaultSize="0" autoFill="0" autoLine="0" autoPict="0">
                <anchor moveWithCells="1">
                  <from>
                    <xdr:col>33</xdr:col>
                    <xdr:colOff>47625</xdr:colOff>
                    <xdr:row>51</xdr:row>
                    <xdr:rowOff>38100</xdr:rowOff>
                  </from>
                  <to>
                    <xdr:col>33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1021" name="Check Box 1020">
              <controlPr defaultSize="0" autoFill="0" autoLine="0" autoPict="0">
                <anchor moveWithCells="1">
                  <from>
                    <xdr:col>34</xdr:col>
                    <xdr:colOff>47625</xdr:colOff>
                    <xdr:row>51</xdr:row>
                    <xdr:rowOff>38100</xdr:rowOff>
                  </from>
                  <to>
                    <xdr:col>34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1022" name="Check Box 1021">
              <controlPr defaultSize="0" autoFill="0" autoLine="0" autoPict="0">
                <anchor moveWithCells="1">
                  <from>
                    <xdr:col>35</xdr:col>
                    <xdr:colOff>47625</xdr:colOff>
                    <xdr:row>51</xdr:row>
                    <xdr:rowOff>38100</xdr:rowOff>
                  </from>
                  <to>
                    <xdr:col>35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1023" name="Check Box 1022">
              <controlPr defaultSize="0" autoFill="0" autoLine="0" autoPict="0">
                <anchor moveWithCells="1">
                  <from>
                    <xdr:col>36</xdr:col>
                    <xdr:colOff>47625</xdr:colOff>
                    <xdr:row>51</xdr:row>
                    <xdr:rowOff>38100</xdr:rowOff>
                  </from>
                  <to>
                    <xdr:col>36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1024" name="Check Box 1023">
              <controlPr defaultSize="0" autoFill="0" autoLine="0" autoPict="0">
                <anchor moveWithCells="1">
                  <from>
                    <xdr:col>37</xdr:col>
                    <xdr:colOff>47625</xdr:colOff>
                    <xdr:row>51</xdr:row>
                    <xdr:rowOff>38100</xdr:rowOff>
                  </from>
                  <to>
                    <xdr:col>37</xdr:col>
                    <xdr:colOff>342900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" r:id="rId1025" name="Check Box 1024">
              <controlPr defaultSize="0" autoFill="0" autoLine="0" autoPict="0">
                <anchor moveWithCells="1">
                  <from>
                    <xdr:col>7</xdr:col>
                    <xdr:colOff>47625</xdr:colOff>
                    <xdr:row>52</xdr:row>
                    <xdr:rowOff>38100</xdr:rowOff>
                  </from>
                  <to>
                    <xdr:col>7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1" r:id="rId1026" name="Check Box 1025">
              <controlPr defaultSize="0" autoFill="0" autoLine="0" autoPict="0">
                <anchor moveWithCells="1">
                  <from>
                    <xdr:col>8</xdr:col>
                    <xdr:colOff>47625</xdr:colOff>
                    <xdr:row>52</xdr:row>
                    <xdr:rowOff>38100</xdr:rowOff>
                  </from>
                  <to>
                    <xdr:col>8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1027" name="Check Box 1026">
              <controlPr defaultSize="0" autoFill="0" autoLine="0" autoPict="0">
                <anchor moveWithCells="1">
                  <from>
                    <xdr:col>9</xdr:col>
                    <xdr:colOff>47625</xdr:colOff>
                    <xdr:row>52</xdr:row>
                    <xdr:rowOff>38100</xdr:rowOff>
                  </from>
                  <to>
                    <xdr:col>9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1028" name="Check Box 1027">
              <controlPr defaultSize="0" autoFill="0" autoLine="0" autoPict="0">
                <anchor moveWithCells="1">
                  <from>
                    <xdr:col>10</xdr:col>
                    <xdr:colOff>47625</xdr:colOff>
                    <xdr:row>52</xdr:row>
                    <xdr:rowOff>38100</xdr:rowOff>
                  </from>
                  <to>
                    <xdr:col>10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1029" name="Check Box 1028">
              <controlPr defaultSize="0" autoFill="0" autoLine="0" autoPict="0">
                <anchor moveWithCells="1">
                  <from>
                    <xdr:col>11</xdr:col>
                    <xdr:colOff>47625</xdr:colOff>
                    <xdr:row>52</xdr:row>
                    <xdr:rowOff>38100</xdr:rowOff>
                  </from>
                  <to>
                    <xdr:col>11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1030" name="Check Box 1029">
              <controlPr defaultSize="0" autoFill="0" autoLine="0" autoPict="0">
                <anchor moveWithCells="1">
                  <from>
                    <xdr:col>12</xdr:col>
                    <xdr:colOff>47625</xdr:colOff>
                    <xdr:row>52</xdr:row>
                    <xdr:rowOff>38100</xdr:rowOff>
                  </from>
                  <to>
                    <xdr:col>12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1031" name="Check Box 1030">
              <controlPr defaultSize="0" autoFill="0" autoLine="0" autoPict="0">
                <anchor moveWithCells="1">
                  <from>
                    <xdr:col>13</xdr:col>
                    <xdr:colOff>47625</xdr:colOff>
                    <xdr:row>52</xdr:row>
                    <xdr:rowOff>38100</xdr:rowOff>
                  </from>
                  <to>
                    <xdr:col>13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32" name="Check Box 1031">
              <controlPr defaultSize="0" autoFill="0" autoLine="0" autoPict="0">
                <anchor moveWithCells="1">
                  <from>
                    <xdr:col>14</xdr:col>
                    <xdr:colOff>47625</xdr:colOff>
                    <xdr:row>52</xdr:row>
                    <xdr:rowOff>38100</xdr:rowOff>
                  </from>
                  <to>
                    <xdr:col>14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33" name="Check Box 1032">
              <controlPr defaultSize="0" autoFill="0" autoLine="0" autoPict="0">
                <anchor moveWithCells="1">
                  <from>
                    <xdr:col>15</xdr:col>
                    <xdr:colOff>47625</xdr:colOff>
                    <xdr:row>52</xdr:row>
                    <xdr:rowOff>38100</xdr:rowOff>
                  </from>
                  <to>
                    <xdr:col>15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034" name="Check Box 1033">
              <controlPr defaultSize="0" autoFill="0" autoLine="0" autoPict="0">
                <anchor moveWithCells="1">
                  <from>
                    <xdr:col>16</xdr:col>
                    <xdr:colOff>47625</xdr:colOff>
                    <xdr:row>52</xdr:row>
                    <xdr:rowOff>38100</xdr:rowOff>
                  </from>
                  <to>
                    <xdr:col>16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035" name="Check Box 1034">
              <controlPr defaultSize="0" autoFill="0" autoLine="0" autoPict="0">
                <anchor moveWithCells="1">
                  <from>
                    <xdr:col>17</xdr:col>
                    <xdr:colOff>47625</xdr:colOff>
                    <xdr:row>52</xdr:row>
                    <xdr:rowOff>38100</xdr:rowOff>
                  </from>
                  <to>
                    <xdr:col>17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036" name="Check Box 1035">
              <controlPr defaultSize="0" autoFill="0" autoLine="0" autoPict="0">
                <anchor moveWithCells="1">
                  <from>
                    <xdr:col>18</xdr:col>
                    <xdr:colOff>47625</xdr:colOff>
                    <xdr:row>52</xdr:row>
                    <xdr:rowOff>38100</xdr:rowOff>
                  </from>
                  <to>
                    <xdr:col>18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037" name="Check Box 1036">
              <controlPr defaultSize="0" autoFill="0" autoLine="0" autoPict="0">
                <anchor moveWithCells="1">
                  <from>
                    <xdr:col>19</xdr:col>
                    <xdr:colOff>47625</xdr:colOff>
                    <xdr:row>52</xdr:row>
                    <xdr:rowOff>38100</xdr:rowOff>
                  </from>
                  <to>
                    <xdr:col>19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038" name="Check Box 1037">
              <controlPr defaultSize="0" autoFill="0" autoLine="0" autoPict="0">
                <anchor moveWithCells="1">
                  <from>
                    <xdr:col>20</xdr:col>
                    <xdr:colOff>47625</xdr:colOff>
                    <xdr:row>52</xdr:row>
                    <xdr:rowOff>38100</xdr:rowOff>
                  </from>
                  <to>
                    <xdr:col>20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039" name="Check Box 1038">
              <controlPr defaultSize="0" autoFill="0" autoLine="0" autoPict="0">
                <anchor moveWithCells="1">
                  <from>
                    <xdr:col>21</xdr:col>
                    <xdr:colOff>47625</xdr:colOff>
                    <xdr:row>52</xdr:row>
                    <xdr:rowOff>38100</xdr:rowOff>
                  </from>
                  <to>
                    <xdr:col>21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040" name="Check Box 1039">
              <controlPr defaultSize="0" autoFill="0" autoLine="0" autoPict="0">
                <anchor moveWithCells="1">
                  <from>
                    <xdr:col>22</xdr:col>
                    <xdr:colOff>47625</xdr:colOff>
                    <xdr:row>52</xdr:row>
                    <xdr:rowOff>38100</xdr:rowOff>
                  </from>
                  <to>
                    <xdr:col>22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041" name="Check Box 1040">
              <controlPr defaultSize="0" autoFill="0" autoLine="0" autoPict="0">
                <anchor moveWithCells="1">
                  <from>
                    <xdr:col>23</xdr:col>
                    <xdr:colOff>47625</xdr:colOff>
                    <xdr:row>52</xdr:row>
                    <xdr:rowOff>38100</xdr:rowOff>
                  </from>
                  <to>
                    <xdr:col>23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042" name="Check Box 1041">
              <controlPr defaultSize="0" autoFill="0" autoLine="0" autoPict="0">
                <anchor moveWithCells="1">
                  <from>
                    <xdr:col>24</xdr:col>
                    <xdr:colOff>47625</xdr:colOff>
                    <xdr:row>52</xdr:row>
                    <xdr:rowOff>38100</xdr:rowOff>
                  </from>
                  <to>
                    <xdr:col>24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1043" name="Check Box 1042">
              <controlPr defaultSize="0" autoFill="0" autoLine="0" autoPict="0">
                <anchor moveWithCells="1">
                  <from>
                    <xdr:col>25</xdr:col>
                    <xdr:colOff>47625</xdr:colOff>
                    <xdr:row>52</xdr:row>
                    <xdr:rowOff>38100</xdr:rowOff>
                  </from>
                  <to>
                    <xdr:col>25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1044" name="Check Box 1043">
              <controlPr defaultSize="0" autoFill="0" autoLine="0" autoPict="0">
                <anchor moveWithCells="1">
                  <from>
                    <xdr:col>26</xdr:col>
                    <xdr:colOff>47625</xdr:colOff>
                    <xdr:row>52</xdr:row>
                    <xdr:rowOff>38100</xdr:rowOff>
                  </from>
                  <to>
                    <xdr:col>26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1045" name="Check Box 1044">
              <controlPr defaultSize="0" autoFill="0" autoLine="0" autoPict="0">
                <anchor moveWithCells="1">
                  <from>
                    <xdr:col>27</xdr:col>
                    <xdr:colOff>47625</xdr:colOff>
                    <xdr:row>52</xdr:row>
                    <xdr:rowOff>38100</xdr:rowOff>
                  </from>
                  <to>
                    <xdr:col>27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1046" name="Check Box 1045">
              <controlPr defaultSize="0" autoFill="0" autoLine="0" autoPict="0">
                <anchor moveWithCells="1">
                  <from>
                    <xdr:col>28</xdr:col>
                    <xdr:colOff>47625</xdr:colOff>
                    <xdr:row>52</xdr:row>
                    <xdr:rowOff>38100</xdr:rowOff>
                  </from>
                  <to>
                    <xdr:col>28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1047" name="Check Box 1046">
              <controlPr defaultSize="0" autoFill="0" autoLine="0" autoPict="0">
                <anchor moveWithCells="1">
                  <from>
                    <xdr:col>29</xdr:col>
                    <xdr:colOff>47625</xdr:colOff>
                    <xdr:row>52</xdr:row>
                    <xdr:rowOff>38100</xdr:rowOff>
                  </from>
                  <to>
                    <xdr:col>29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1048" name="Check Box 1047">
              <controlPr defaultSize="0" autoFill="0" autoLine="0" autoPict="0">
                <anchor moveWithCells="1">
                  <from>
                    <xdr:col>30</xdr:col>
                    <xdr:colOff>47625</xdr:colOff>
                    <xdr:row>52</xdr:row>
                    <xdr:rowOff>38100</xdr:rowOff>
                  </from>
                  <to>
                    <xdr:col>30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1049" name="Check Box 1048">
              <controlPr defaultSize="0" autoFill="0" autoLine="0" autoPict="0">
                <anchor moveWithCells="1">
                  <from>
                    <xdr:col>31</xdr:col>
                    <xdr:colOff>47625</xdr:colOff>
                    <xdr:row>52</xdr:row>
                    <xdr:rowOff>38100</xdr:rowOff>
                  </from>
                  <to>
                    <xdr:col>31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1050" name="Check Box 1049">
              <controlPr defaultSize="0" autoFill="0" autoLine="0" autoPict="0">
                <anchor moveWithCells="1">
                  <from>
                    <xdr:col>32</xdr:col>
                    <xdr:colOff>47625</xdr:colOff>
                    <xdr:row>52</xdr:row>
                    <xdr:rowOff>38100</xdr:rowOff>
                  </from>
                  <to>
                    <xdr:col>32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1051" name="Check Box 1050">
              <controlPr defaultSize="0" autoFill="0" autoLine="0" autoPict="0">
                <anchor moveWithCells="1">
                  <from>
                    <xdr:col>33</xdr:col>
                    <xdr:colOff>47625</xdr:colOff>
                    <xdr:row>52</xdr:row>
                    <xdr:rowOff>38100</xdr:rowOff>
                  </from>
                  <to>
                    <xdr:col>33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1052" name="Check Box 1051">
              <controlPr defaultSize="0" autoFill="0" autoLine="0" autoPict="0">
                <anchor moveWithCells="1">
                  <from>
                    <xdr:col>34</xdr:col>
                    <xdr:colOff>47625</xdr:colOff>
                    <xdr:row>52</xdr:row>
                    <xdr:rowOff>38100</xdr:rowOff>
                  </from>
                  <to>
                    <xdr:col>34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1053" name="Check Box 1052">
              <controlPr defaultSize="0" autoFill="0" autoLine="0" autoPict="0">
                <anchor moveWithCells="1">
                  <from>
                    <xdr:col>35</xdr:col>
                    <xdr:colOff>47625</xdr:colOff>
                    <xdr:row>52</xdr:row>
                    <xdr:rowOff>38100</xdr:rowOff>
                  </from>
                  <to>
                    <xdr:col>35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1054" name="Check Box 1053">
              <controlPr defaultSize="0" autoFill="0" autoLine="0" autoPict="0">
                <anchor moveWithCells="1">
                  <from>
                    <xdr:col>36</xdr:col>
                    <xdr:colOff>47625</xdr:colOff>
                    <xdr:row>52</xdr:row>
                    <xdr:rowOff>38100</xdr:rowOff>
                  </from>
                  <to>
                    <xdr:col>36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1055" name="Check Box 1054">
              <controlPr defaultSize="0" autoFill="0" autoLine="0" autoPict="0">
                <anchor moveWithCells="1">
                  <from>
                    <xdr:col>37</xdr:col>
                    <xdr:colOff>47625</xdr:colOff>
                    <xdr:row>52</xdr:row>
                    <xdr:rowOff>38100</xdr:rowOff>
                  </from>
                  <to>
                    <xdr:col>37</xdr:col>
                    <xdr:colOff>342900</xdr:colOff>
                    <xdr:row>52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1056" name="Check Box 1055">
              <controlPr defaultSize="0" autoFill="0" autoLine="0" autoPict="0">
                <anchor moveWithCells="1">
                  <from>
                    <xdr:col>7</xdr:col>
                    <xdr:colOff>47625</xdr:colOff>
                    <xdr:row>53</xdr:row>
                    <xdr:rowOff>38100</xdr:rowOff>
                  </from>
                  <to>
                    <xdr:col>7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1057" name="Check Box 1056">
              <controlPr defaultSize="0" autoFill="0" autoLine="0" autoPict="0">
                <anchor moveWithCells="1">
                  <from>
                    <xdr:col>8</xdr:col>
                    <xdr:colOff>47625</xdr:colOff>
                    <xdr:row>53</xdr:row>
                    <xdr:rowOff>38100</xdr:rowOff>
                  </from>
                  <to>
                    <xdr:col>8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1058" name="Check Box 1057">
              <controlPr defaultSize="0" autoFill="0" autoLine="0" autoPict="0">
                <anchor moveWithCells="1">
                  <from>
                    <xdr:col>9</xdr:col>
                    <xdr:colOff>47625</xdr:colOff>
                    <xdr:row>53</xdr:row>
                    <xdr:rowOff>38100</xdr:rowOff>
                  </from>
                  <to>
                    <xdr:col>9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1059" name="Check Box 1058">
              <controlPr defaultSize="0" autoFill="0" autoLine="0" autoPict="0">
                <anchor moveWithCells="1">
                  <from>
                    <xdr:col>10</xdr:col>
                    <xdr:colOff>47625</xdr:colOff>
                    <xdr:row>53</xdr:row>
                    <xdr:rowOff>38100</xdr:rowOff>
                  </from>
                  <to>
                    <xdr:col>10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1060" name="Check Box 1059">
              <controlPr defaultSize="0" autoFill="0" autoLine="0" autoPict="0">
                <anchor moveWithCells="1">
                  <from>
                    <xdr:col>11</xdr:col>
                    <xdr:colOff>47625</xdr:colOff>
                    <xdr:row>53</xdr:row>
                    <xdr:rowOff>38100</xdr:rowOff>
                  </from>
                  <to>
                    <xdr:col>11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1061" name="Check Box 1060">
              <controlPr defaultSize="0" autoFill="0" autoLine="0" autoPict="0">
                <anchor moveWithCells="1">
                  <from>
                    <xdr:col>12</xdr:col>
                    <xdr:colOff>47625</xdr:colOff>
                    <xdr:row>53</xdr:row>
                    <xdr:rowOff>38100</xdr:rowOff>
                  </from>
                  <to>
                    <xdr:col>12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1062" name="Check Box 1061">
              <controlPr defaultSize="0" autoFill="0" autoLine="0" autoPict="0">
                <anchor moveWithCells="1">
                  <from>
                    <xdr:col>13</xdr:col>
                    <xdr:colOff>47625</xdr:colOff>
                    <xdr:row>53</xdr:row>
                    <xdr:rowOff>38100</xdr:rowOff>
                  </from>
                  <to>
                    <xdr:col>13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1063" name="Check Box 1062">
              <controlPr defaultSize="0" autoFill="0" autoLine="0" autoPict="0">
                <anchor moveWithCells="1">
                  <from>
                    <xdr:col>14</xdr:col>
                    <xdr:colOff>47625</xdr:colOff>
                    <xdr:row>53</xdr:row>
                    <xdr:rowOff>38100</xdr:rowOff>
                  </from>
                  <to>
                    <xdr:col>14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1064" name="Check Box 1063">
              <controlPr defaultSize="0" autoFill="0" autoLine="0" autoPict="0">
                <anchor moveWithCells="1">
                  <from>
                    <xdr:col>15</xdr:col>
                    <xdr:colOff>47625</xdr:colOff>
                    <xdr:row>53</xdr:row>
                    <xdr:rowOff>38100</xdr:rowOff>
                  </from>
                  <to>
                    <xdr:col>15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1065" name="Check Box 1064">
              <controlPr defaultSize="0" autoFill="0" autoLine="0" autoPict="0">
                <anchor moveWithCells="1">
                  <from>
                    <xdr:col>16</xdr:col>
                    <xdr:colOff>47625</xdr:colOff>
                    <xdr:row>53</xdr:row>
                    <xdr:rowOff>38100</xdr:rowOff>
                  </from>
                  <to>
                    <xdr:col>16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1066" name="Check Box 1065">
              <controlPr defaultSize="0" autoFill="0" autoLine="0" autoPict="0">
                <anchor moveWithCells="1">
                  <from>
                    <xdr:col>17</xdr:col>
                    <xdr:colOff>47625</xdr:colOff>
                    <xdr:row>53</xdr:row>
                    <xdr:rowOff>38100</xdr:rowOff>
                  </from>
                  <to>
                    <xdr:col>17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1067" name="Check Box 1066">
              <controlPr defaultSize="0" autoFill="0" autoLine="0" autoPict="0">
                <anchor moveWithCells="1">
                  <from>
                    <xdr:col>18</xdr:col>
                    <xdr:colOff>47625</xdr:colOff>
                    <xdr:row>53</xdr:row>
                    <xdr:rowOff>38100</xdr:rowOff>
                  </from>
                  <to>
                    <xdr:col>18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1068" name="Check Box 1067">
              <controlPr defaultSize="0" autoFill="0" autoLine="0" autoPict="0">
                <anchor moveWithCells="1">
                  <from>
                    <xdr:col>19</xdr:col>
                    <xdr:colOff>47625</xdr:colOff>
                    <xdr:row>53</xdr:row>
                    <xdr:rowOff>38100</xdr:rowOff>
                  </from>
                  <to>
                    <xdr:col>19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1069" name="Check Box 1068">
              <controlPr defaultSize="0" autoFill="0" autoLine="0" autoPict="0">
                <anchor moveWithCells="1">
                  <from>
                    <xdr:col>20</xdr:col>
                    <xdr:colOff>47625</xdr:colOff>
                    <xdr:row>53</xdr:row>
                    <xdr:rowOff>38100</xdr:rowOff>
                  </from>
                  <to>
                    <xdr:col>20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1070" name="Check Box 1069">
              <controlPr defaultSize="0" autoFill="0" autoLine="0" autoPict="0">
                <anchor moveWithCells="1">
                  <from>
                    <xdr:col>21</xdr:col>
                    <xdr:colOff>47625</xdr:colOff>
                    <xdr:row>53</xdr:row>
                    <xdr:rowOff>38100</xdr:rowOff>
                  </from>
                  <to>
                    <xdr:col>21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1071" name="Check Box 1070">
              <controlPr defaultSize="0" autoFill="0" autoLine="0" autoPict="0">
                <anchor moveWithCells="1">
                  <from>
                    <xdr:col>22</xdr:col>
                    <xdr:colOff>47625</xdr:colOff>
                    <xdr:row>53</xdr:row>
                    <xdr:rowOff>38100</xdr:rowOff>
                  </from>
                  <to>
                    <xdr:col>22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1072" name="Check Box 1071">
              <controlPr defaultSize="0" autoFill="0" autoLine="0" autoPict="0">
                <anchor moveWithCells="1">
                  <from>
                    <xdr:col>23</xdr:col>
                    <xdr:colOff>47625</xdr:colOff>
                    <xdr:row>53</xdr:row>
                    <xdr:rowOff>38100</xdr:rowOff>
                  </from>
                  <to>
                    <xdr:col>23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1073" name="Check Box 1072">
              <controlPr defaultSize="0" autoFill="0" autoLine="0" autoPict="0">
                <anchor moveWithCells="1">
                  <from>
                    <xdr:col>24</xdr:col>
                    <xdr:colOff>47625</xdr:colOff>
                    <xdr:row>53</xdr:row>
                    <xdr:rowOff>38100</xdr:rowOff>
                  </from>
                  <to>
                    <xdr:col>24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1074" name="Check Box 1073">
              <controlPr defaultSize="0" autoFill="0" autoLine="0" autoPict="0">
                <anchor moveWithCells="1">
                  <from>
                    <xdr:col>25</xdr:col>
                    <xdr:colOff>47625</xdr:colOff>
                    <xdr:row>53</xdr:row>
                    <xdr:rowOff>38100</xdr:rowOff>
                  </from>
                  <to>
                    <xdr:col>25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1075" name="Check Box 1074">
              <controlPr defaultSize="0" autoFill="0" autoLine="0" autoPict="0">
                <anchor moveWithCells="1">
                  <from>
                    <xdr:col>26</xdr:col>
                    <xdr:colOff>47625</xdr:colOff>
                    <xdr:row>53</xdr:row>
                    <xdr:rowOff>38100</xdr:rowOff>
                  </from>
                  <to>
                    <xdr:col>26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1076" name="Check Box 1075">
              <controlPr defaultSize="0" autoFill="0" autoLine="0" autoPict="0">
                <anchor moveWithCells="1">
                  <from>
                    <xdr:col>27</xdr:col>
                    <xdr:colOff>47625</xdr:colOff>
                    <xdr:row>53</xdr:row>
                    <xdr:rowOff>38100</xdr:rowOff>
                  </from>
                  <to>
                    <xdr:col>27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1077" name="Check Box 1076">
              <controlPr defaultSize="0" autoFill="0" autoLine="0" autoPict="0">
                <anchor moveWithCells="1">
                  <from>
                    <xdr:col>28</xdr:col>
                    <xdr:colOff>47625</xdr:colOff>
                    <xdr:row>53</xdr:row>
                    <xdr:rowOff>38100</xdr:rowOff>
                  </from>
                  <to>
                    <xdr:col>28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1078" name="Check Box 1077">
              <controlPr defaultSize="0" autoFill="0" autoLine="0" autoPict="0">
                <anchor moveWithCells="1">
                  <from>
                    <xdr:col>29</xdr:col>
                    <xdr:colOff>47625</xdr:colOff>
                    <xdr:row>53</xdr:row>
                    <xdr:rowOff>38100</xdr:rowOff>
                  </from>
                  <to>
                    <xdr:col>29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1079" name="Check Box 1078">
              <controlPr defaultSize="0" autoFill="0" autoLine="0" autoPict="0">
                <anchor moveWithCells="1">
                  <from>
                    <xdr:col>30</xdr:col>
                    <xdr:colOff>47625</xdr:colOff>
                    <xdr:row>53</xdr:row>
                    <xdr:rowOff>38100</xdr:rowOff>
                  </from>
                  <to>
                    <xdr:col>30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1080" name="Check Box 1079">
              <controlPr defaultSize="0" autoFill="0" autoLine="0" autoPict="0">
                <anchor moveWithCells="1">
                  <from>
                    <xdr:col>31</xdr:col>
                    <xdr:colOff>47625</xdr:colOff>
                    <xdr:row>53</xdr:row>
                    <xdr:rowOff>38100</xdr:rowOff>
                  </from>
                  <to>
                    <xdr:col>31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1081" name="Check Box 1080">
              <controlPr defaultSize="0" autoFill="0" autoLine="0" autoPict="0">
                <anchor moveWithCells="1">
                  <from>
                    <xdr:col>32</xdr:col>
                    <xdr:colOff>47625</xdr:colOff>
                    <xdr:row>53</xdr:row>
                    <xdr:rowOff>38100</xdr:rowOff>
                  </from>
                  <to>
                    <xdr:col>32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1082" name="Check Box 1081">
              <controlPr defaultSize="0" autoFill="0" autoLine="0" autoPict="0">
                <anchor moveWithCells="1">
                  <from>
                    <xdr:col>33</xdr:col>
                    <xdr:colOff>47625</xdr:colOff>
                    <xdr:row>53</xdr:row>
                    <xdr:rowOff>38100</xdr:rowOff>
                  </from>
                  <to>
                    <xdr:col>33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1083" name="Check Box 1082">
              <controlPr defaultSize="0" autoFill="0" autoLine="0" autoPict="0">
                <anchor moveWithCells="1">
                  <from>
                    <xdr:col>34</xdr:col>
                    <xdr:colOff>47625</xdr:colOff>
                    <xdr:row>53</xdr:row>
                    <xdr:rowOff>38100</xdr:rowOff>
                  </from>
                  <to>
                    <xdr:col>34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1084" name="Check Box 1083">
              <controlPr defaultSize="0" autoFill="0" autoLine="0" autoPict="0">
                <anchor moveWithCells="1">
                  <from>
                    <xdr:col>35</xdr:col>
                    <xdr:colOff>47625</xdr:colOff>
                    <xdr:row>53</xdr:row>
                    <xdr:rowOff>38100</xdr:rowOff>
                  </from>
                  <to>
                    <xdr:col>35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1085" name="Check Box 1084">
              <controlPr defaultSize="0" autoFill="0" autoLine="0" autoPict="0">
                <anchor moveWithCells="1">
                  <from>
                    <xdr:col>36</xdr:col>
                    <xdr:colOff>47625</xdr:colOff>
                    <xdr:row>53</xdr:row>
                    <xdr:rowOff>38100</xdr:rowOff>
                  </from>
                  <to>
                    <xdr:col>36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1086" name="Check Box 1085">
              <controlPr defaultSize="0" autoFill="0" autoLine="0" autoPict="0">
                <anchor moveWithCells="1">
                  <from>
                    <xdr:col>37</xdr:col>
                    <xdr:colOff>47625</xdr:colOff>
                    <xdr:row>53</xdr:row>
                    <xdr:rowOff>38100</xdr:rowOff>
                  </from>
                  <to>
                    <xdr:col>37</xdr:col>
                    <xdr:colOff>342900</xdr:colOff>
                    <xdr:row>53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1087" name="Check Box 1086">
              <controlPr defaultSize="0" autoFill="0" autoLine="0" autoPict="0">
                <anchor moveWithCells="1">
                  <from>
                    <xdr:col>7</xdr:col>
                    <xdr:colOff>47625</xdr:colOff>
                    <xdr:row>54</xdr:row>
                    <xdr:rowOff>38100</xdr:rowOff>
                  </from>
                  <to>
                    <xdr:col>7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1088" name="Check Box 1087">
              <controlPr defaultSize="0" autoFill="0" autoLine="0" autoPict="0">
                <anchor moveWithCells="1">
                  <from>
                    <xdr:col>8</xdr:col>
                    <xdr:colOff>47625</xdr:colOff>
                    <xdr:row>54</xdr:row>
                    <xdr:rowOff>38100</xdr:rowOff>
                  </from>
                  <to>
                    <xdr:col>8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1089" name="Check Box 1088">
              <controlPr defaultSize="0" autoFill="0" autoLine="0" autoPict="0">
                <anchor moveWithCells="1">
                  <from>
                    <xdr:col>9</xdr:col>
                    <xdr:colOff>47625</xdr:colOff>
                    <xdr:row>54</xdr:row>
                    <xdr:rowOff>38100</xdr:rowOff>
                  </from>
                  <to>
                    <xdr:col>9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1090" name="Check Box 1089">
              <controlPr defaultSize="0" autoFill="0" autoLine="0" autoPict="0">
                <anchor moveWithCells="1">
                  <from>
                    <xdr:col>10</xdr:col>
                    <xdr:colOff>47625</xdr:colOff>
                    <xdr:row>54</xdr:row>
                    <xdr:rowOff>38100</xdr:rowOff>
                  </from>
                  <to>
                    <xdr:col>10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1091" name="Check Box 1090">
              <controlPr defaultSize="0" autoFill="0" autoLine="0" autoPict="0">
                <anchor moveWithCells="1">
                  <from>
                    <xdr:col>11</xdr:col>
                    <xdr:colOff>47625</xdr:colOff>
                    <xdr:row>54</xdr:row>
                    <xdr:rowOff>38100</xdr:rowOff>
                  </from>
                  <to>
                    <xdr:col>11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1092" name="Check Box 1091">
              <controlPr defaultSize="0" autoFill="0" autoLine="0" autoPict="0">
                <anchor moveWithCells="1">
                  <from>
                    <xdr:col>12</xdr:col>
                    <xdr:colOff>47625</xdr:colOff>
                    <xdr:row>54</xdr:row>
                    <xdr:rowOff>38100</xdr:rowOff>
                  </from>
                  <to>
                    <xdr:col>12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1093" name="Check Box 1092">
              <controlPr defaultSize="0" autoFill="0" autoLine="0" autoPict="0">
                <anchor moveWithCells="1">
                  <from>
                    <xdr:col>13</xdr:col>
                    <xdr:colOff>47625</xdr:colOff>
                    <xdr:row>54</xdr:row>
                    <xdr:rowOff>38100</xdr:rowOff>
                  </from>
                  <to>
                    <xdr:col>13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1094" name="Check Box 1093">
              <controlPr defaultSize="0" autoFill="0" autoLine="0" autoPict="0">
                <anchor moveWithCells="1">
                  <from>
                    <xdr:col>14</xdr:col>
                    <xdr:colOff>47625</xdr:colOff>
                    <xdr:row>54</xdr:row>
                    <xdr:rowOff>38100</xdr:rowOff>
                  </from>
                  <to>
                    <xdr:col>14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1095" name="Check Box 1094">
              <controlPr defaultSize="0" autoFill="0" autoLine="0" autoPict="0">
                <anchor moveWithCells="1">
                  <from>
                    <xdr:col>15</xdr:col>
                    <xdr:colOff>47625</xdr:colOff>
                    <xdr:row>54</xdr:row>
                    <xdr:rowOff>38100</xdr:rowOff>
                  </from>
                  <to>
                    <xdr:col>15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1096" name="Check Box 1095">
              <controlPr defaultSize="0" autoFill="0" autoLine="0" autoPict="0">
                <anchor moveWithCells="1">
                  <from>
                    <xdr:col>16</xdr:col>
                    <xdr:colOff>47625</xdr:colOff>
                    <xdr:row>54</xdr:row>
                    <xdr:rowOff>38100</xdr:rowOff>
                  </from>
                  <to>
                    <xdr:col>16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1097" name="Check Box 1096">
              <controlPr defaultSize="0" autoFill="0" autoLine="0" autoPict="0">
                <anchor moveWithCells="1">
                  <from>
                    <xdr:col>17</xdr:col>
                    <xdr:colOff>47625</xdr:colOff>
                    <xdr:row>54</xdr:row>
                    <xdr:rowOff>38100</xdr:rowOff>
                  </from>
                  <to>
                    <xdr:col>17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1098" name="Check Box 1097">
              <controlPr defaultSize="0" autoFill="0" autoLine="0" autoPict="0">
                <anchor moveWithCells="1">
                  <from>
                    <xdr:col>18</xdr:col>
                    <xdr:colOff>47625</xdr:colOff>
                    <xdr:row>54</xdr:row>
                    <xdr:rowOff>38100</xdr:rowOff>
                  </from>
                  <to>
                    <xdr:col>18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1099" name="Check Box 1098">
              <controlPr defaultSize="0" autoFill="0" autoLine="0" autoPict="0">
                <anchor moveWithCells="1">
                  <from>
                    <xdr:col>19</xdr:col>
                    <xdr:colOff>47625</xdr:colOff>
                    <xdr:row>54</xdr:row>
                    <xdr:rowOff>38100</xdr:rowOff>
                  </from>
                  <to>
                    <xdr:col>19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1100" name="Check Box 1099">
              <controlPr defaultSize="0" autoFill="0" autoLine="0" autoPict="0">
                <anchor moveWithCells="1">
                  <from>
                    <xdr:col>20</xdr:col>
                    <xdr:colOff>47625</xdr:colOff>
                    <xdr:row>54</xdr:row>
                    <xdr:rowOff>38100</xdr:rowOff>
                  </from>
                  <to>
                    <xdr:col>20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1101" name="Check Box 1100">
              <controlPr defaultSize="0" autoFill="0" autoLine="0" autoPict="0">
                <anchor moveWithCells="1">
                  <from>
                    <xdr:col>21</xdr:col>
                    <xdr:colOff>47625</xdr:colOff>
                    <xdr:row>54</xdr:row>
                    <xdr:rowOff>38100</xdr:rowOff>
                  </from>
                  <to>
                    <xdr:col>21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1102" name="Check Box 1101">
              <controlPr defaultSize="0" autoFill="0" autoLine="0" autoPict="0">
                <anchor moveWithCells="1">
                  <from>
                    <xdr:col>22</xdr:col>
                    <xdr:colOff>47625</xdr:colOff>
                    <xdr:row>54</xdr:row>
                    <xdr:rowOff>38100</xdr:rowOff>
                  </from>
                  <to>
                    <xdr:col>22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1103" name="Check Box 1102">
              <controlPr defaultSize="0" autoFill="0" autoLine="0" autoPict="0">
                <anchor moveWithCells="1">
                  <from>
                    <xdr:col>23</xdr:col>
                    <xdr:colOff>47625</xdr:colOff>
                    <xdr:row>54</xdr:row>
                    <xdr:rowOff>38100</xdr:rowOff>
                  </from>
                  <to>
                    <xdr:col>23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1104" name="Check Box 1103">
              <controlPr defaultSize="0" autoFill="0" autoLine="0" autoPict="0">
                <anchor moveWithCells="1">
                  <from>
                    <xdr:col>24</xdr:col>
                    <xdr:colOff>47625</xdr:colOff>
                    <xdr:row>54</xdr:row>
                    <xdr:rowOff>38100</xdr:rowOff>
                  </from>
                  <to>
                    <xdr:col>24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1105" name="Check Box 1104">
              <controlPr defaultSize="0" autoFill="0" autoLine="0" autoPict="0">
                <anchor moveWithCells="1">
                  <from>
                    <xdr:col>25</xdr:col>
                    <xdr:colOff>47625</xdr:colOff>
                    <xdr:row>54</xdr:row>
                    <xdr:rowOff>38100</xdr:rowOff>
                  </from>
                  <to>
                    <xdr:col>25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1106" name="Check Box 1105">
              <controlPr defaultSize="0" autoFill="0" autoLine="0" autoPict="0">
                <anchor moveWithCells="1">
                  <from>
                    <xdr:col>26</xdr:col>
                    <xdr:colOff>47625</xdr:colOff>
                    <xdr:row>54</xdr:row>
                    <xdr:rowOff>38100</xdr:rowOff>
                  </from>
                  <to>
                    <xdr:col>26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1107" name="Check Box 1106">
              <controlPr defaultSize="0" autoFill="0" autoLine="0" autoPict="0">
                <anchor moveWithCells="1">
                  <from>
                    <xdr:col>27</xdr:col>
                    <xdr:colOff>47625</xdr:colOff>
                    <xdr:row>54</xdr:row>
                    <xdr:rowOff>38100</xdr:rowOff>
                  </from>
                  <to>
                    <xdr:col>27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1108" name="Check Box 1107">
              <controlPr defaultSize="0" autoFill="0" autoLine="0" autoPict="0">
                <anchor moveWithCells="1">
                  <from>
                    <xdr:col>28</xdr:col>
                    <xdr:colOff>47625</xdr:colOff>
                    <xdr:row>54</xdr:row>
                    <xdr:rowOff>38100</xdr:rowOff>
                  </from>
                  <to>
                    <xdr:col>28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1109" name="Check Box 1108">
              <controlPr defaultSize="0" autoFill="0" autoLine="0" autoPict="0">
                <anchor moveWithCells="1">
                  <from>
                    <xdr:col>29</xdr:col>
                    <xdr:colOff>47625</xdr:colOff>
                    <xdr:row>54</xdr:row>
                    <xdr:rowOff>38100</xdr:rowOff>
                  </from>
                  <to>
                    <xdr:col>29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1110" name="Check Box 1109">
              <controlPr defaultSize="0" autoFill="0" autoLine="0" autoPict="0">
                <anchor moveWithCells="1">
                  <from>
                    <xdr:col>30</xdr:col>
                    <xdr:colOff>47625</xdr:colOff>
                    <xdr:row>54</xdr:row>
                    <xdr:rowOff>38100</xdr:rowOff>
                  </from>
                  <to>
                    <xdr:col>30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1111" name="Check Box 1110">
              <controlPr defaultSize="0" autoFill="0" autoLine="0" autoPict="0">
                <anchor moveWithCells="1">
                  <from>
                    <xdr:col>31</xdr:col>
                    <xdr:colOff>47625</xdr:colOff>
                    <xdr:row>54</xdr:row>
                    <xdr:rowOff>38100</xdr:rowOff>
                  </from>
                  <to>
                    <xdr:col>31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1112" name="Check Box 1111">
              <controlPr defaultSize="0" autoFill="0" autoLine="0" autoPict="0">
                <anchor moveWithCells="1">
                  <from>
                    <xdr:col>32</xdr:col>
                    <xdr:colOff>47625</xdr:colOff>
                    <xdr:row>54</xdr:row>
                    <xdr:rowOff>38100</xdr:rowOff>
                  </from>
                  <to>
                    <xdr:col>32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1113" name="Check Box 1112">
              <controlPr defaultSize="0" autoFill="0" autoLine="0" autoPict="0">
                <anchor moveWithCells="1">
                  <from>
                    <xdr:col>33</xdr:col>
                    <xdr:colOff>47625</xdr:colOff>
                    <xdr:row>54</xdr:row>
                    <xdr:rowOff>38100</xdr:rowOff>
                  </from>
                  <to>
                    <xdr:col>33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1114" name="Check Box 1113">
              <controlPr defaultSize="0" autoFill="0" autoLine="0" autoPict="0">
                <anchor moveWithCells="1">
                  <from>
                    <xdr:col>34</xdr:col>
                    <xdr:colOff>47625</xdr:colOff>
                    <xdr:row>54</xdr:row>
                    <xdr:rowOff>38100</xdr:rowOff>
                  </from>
                  <to>
                    <xdr:col>34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1115" name="Check Box 1114">
              <controlPr defaultSize="0" autoFill="0" autoLine="0" autoPict="0">
                <anchor moveWithCells="1">
                  <from>
                    <xdr:col>35</xdr:col>
                    <xdr:colOff>47625</xdr:colOff>
                    <xdr:row>54</xdr:row>
                    <xdr:rowOff>38100</xdr:rowOff>
                  </from>
                  <to>
                    <xdr:col>35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1116" name="Check Box 1115">
              <controlPr defaultSize="0" autoFill="0" autoLine="0" autoPict="0">
                <anchor moveWithCells="1">
                  <from>
                    <xdr:col>36</xdr:col>
                    <xdr:colOff>47625</xdr:colOff>
                    <xdr:row>54</xdr:row>
                    <xdr:rowOff>38100</xdr:rowOff>
                  </from>
                  <to>
                    <xdr:col>36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1117" name="Check Box 1116">
              <controlPr defaultSize="0" autoFill="0" autoLine="0" autoPict="0">
                <anchor moveWithCells="1">
                  <from>
                    <xdr:col>37</xdr:col>
                    <xdr:colOff>47625</xdr:colOff>
                    <xdr:row>54</xdr:row>
                    <xdr:rowOff>38100</xdr:rowOff>
                  </from>
                  <to>
                    <xdr:col>37</xdr:col>
                    <xdr:colOff>342900</xdr:colOff>
                    <xdr:row>54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1118" name="Check Box 1117">
              <controlPr defaultSize="0" autoFill="0" autoLine="0" autoPict="0">
                <anchor moveWithCells="1">
                  <from>
                    <xdr:col>7</xdr:col>
                    <xdr:colOff>47625</xdr:colOff>
                    <xdr:row>55</xdr:row>
                    <xdr:rowOff>38100</xdr:rowOff>
                  </from>
                  <to>
                    <xdr:col>7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1119" name="Check Box 1118">
              <controlPr defaultSize="0" autoFill="0" autoLine="0" autoPict="0">
                <anchor moveWithCells="1">
                  <from>
                    <xdr:col>8</xdr:col>
                    <xdr:colOff>47625</xdr:colOff>
                    <xdr:row>55</xdr:row>
                    <xdr:rowOff>38100</xdr:rowOff>
                  </from>
                  <to>
                    <xdr:col>8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1120" name="Check Box 1119">
              <controlPr defaultSize="0" autoFill="0" autoLine="0" autoPict="0">
                <anchor moveWithCells="1">
                  <from>
                    <xdr:col>9</xdr:col>
                    <xdr:colOff>47625</xdr:colOff>
                    <xdr:row>55</xdr:row>
                    <xdr:rowOff>38100</xdr:rowOff>
                  </from>
                  <to>
                    <xdr:col>9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1121" name="Check Box 1120">
              <controlPr defaultSize="0" autoFill="0" autoLine="0" autoPict="0">
                <anchor moveWithCells="1">
                  <from>
                    <xdr:col>10</xdr:col>
                    <xdr:colOff>47625</xdr:colOff>
                    <xdr:row>55</xdr:row>
                    <xdr:rowOff>38100</xdr:rowOff>
                  </from>
                  <to>
                    <xdr:col>10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1122" name="Check Box 1121">
              <controlPr defaultSize="0" autoFill="0" autoLine="0" autoPict="0">
                <anchor moveWithCells="1">
                  <from>
                    <xdr:col>11</xdr:col>
                    <xdr:colOff>47625</xdr:colOff>
                    <xdr:row>55</xdr:row>
                    <xdr:rowOff>38100</xdr:rowOff>
                  </from>
                  <to>
                    <xdr:col>11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1123" name="Check Box 1122">
              <controlPr defaultSize="0" autoFill="0" autoLine="0" autoPict="0">
                <anchor moveWithCells="1">
                  <from>
                    <xdr:col>12</xdr:col>
                    <xdr:colOff>47625</xdr:colOff>
                    <xdr:row>55</xdr:row>
                    <xdr:rowOff>38100</xdr:rowOff>
                  </from>
                  <to>
                    <xdr:col>12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1124" name="Check Box 1123">
              <controlPr defaultSize="0" autoFill="0" autoLine="0" autoPict="0">
                <anchor moveWithCells="1">
                  <from>
                    <xdr:col>13</xdr:col>
                    <xdr:colOff>47625</xdr:colOff>
                    <xdr:row>55</xdr:row>
                    <xdr:rowOff>38100</xdr:rowOff>
                  </from>
                  <to>
                    <xdr:col>13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1125" name="Check Box 1124">
              <controlPr defaultSize="0" autoFill="0" autoLine="0" autoPict="0">
                <anchor moveWithCells="1">
                  <from>
                    <xdr:col>14</xdr:col>
                    <xdr:colOff>47625</xdr:colOff>
                    <xdr:row>55</xdr:row>
                    <xdr:rowOff>38100</xdr:rowOff>
                  </from>
                  <to>
                    <xdr:col>14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1126" name="Check Box 1125">
              <controlPr defaultSize="0" autoFill="0" autoLine="0" autoPict="0">
                <anchor moveWithCells="1">
                  <from>
                    <xdr:col>15</xdr:col>
                    <xdr:colOff>47625</xdr:colOff>
                    <xdr:row>55</xdr:row>
                    <xdr:rowOff>38100</xdr:rowOff>
                  </from>
                  <to>
                    <xdr:col>15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1127" name="Check Box 1126">
              <controlPr defaultSize="0" autoFill="0" autoLine="0" autoPict="0">
                <anchor moveWithCells="1">
                  <from>
                    <xdr:col>16</xdr:col>
                    <xdr:colOff>47625</xdr:colOff>
                    <xdr:row>55</xdr:row>
                    <xdr:rowOff>38100</xdr:rowOff>
                  </from>
                  <to>
                    <xdr:col>16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3" r:id="rId1128" name="Check Box 1127">
              <controlPr defaultSize="0" autoFill="0" autoLine="0" autoPict="0">
                <anchor moveWithCells="1">
                  <from>
                    <xdr:col>17</xdr:col>
                    <xdr:colOff>47625</xdr:colOff>
                    <xdr:row>55</xdr:row>
                    <xdr:rowOff>38100</xdr:rowOff>
                  </from>
                  <to>
                    <xdr:col>17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4" r:id="rId1129" name="Check Box 1128">
              <controlPr defaultSize="0" autoFill="0" autoLine="0" autoPict="0">
                <anchor moveWithCells="1">
                  <from>
                    <xdr:col>18</xdr:col>
                    <xdr:colOff>47625</xdr:colOff>
                    <xdr:row>55</xdr:row>
                    <xdr:rowOff>38100</xdr:rowOff>
                  </from>
                  <to>
                    <xdr:col>18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5" r:id="rId1130" name="Check Box 1129">
              <controlPr defaultSize="0" autoFill="0" autoLine="0" autoPict="0">
                <anchor moveWithCells="1">
                  <from>
                    <xdr:col>19</xdr:col>
                    <xdr:colOff>47625</xdr:colOff>
                    <xdr:row>55</xdr:row>
                    <xdr:rowOff>38100</xdr:rowOff>
                  </from>
                  <to>
                    <xdr:col>19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6" r:id="rId1131" name="Check Box 1130">
              <controlPr defaultSize="0" autoFill="0" autoLine="0" autoPict="0">
                <anchor moveWithCells="1">
                  <from>
                    <xdr:col>20</xdr:col>
                    <xdr:colOff>47625</xdr:colOff>
                    <xdr:row>55</xdr:row>
                    <xdr:rowOff>38100</xdr:rowOff>
                  </from>
                  <to>
                    <xdr:col>20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7" r:id="rId1132" name="Check Box 1131">
              <controlPr defaultSize="0" autoFill="0" autoLine="0" autoPict="0">
                <anchor moveWithCells="1">
                  <from>
                    <xdr:col>21</xdr:col>
                    <xdr:colOff>47625</xdr:colOff>
                    <xdr:row>55</xdr:row>
                    <xdr:rowOff>38100</xdr:rowOff>
                  </from>
                  <to>
                    <xdr:col>21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8" r:id="rId1133" name="Check Box 1132">
              <controlPr defaultSize="0" autoFill="0" autoLine="0" autoPict="0">
                <anchor moveWithCells="1">
                  <from>
                    <xdr:col>22</xdr:col>
                    <xdr:colOff>47625</xdr:colOff>
                    <xdr:row>55</xdr:row>
                    <xdr:rowOff>38100</xdr:rowOff>
                  </from>
                  <to>
                    <xdr:col>22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9" r:id="rId1134" name="Check Box 1133">
              <controlPr defaultSize="0" autoFill="0" autoLine="0" autoPict="0">
                <anchor moveWithCells="1">
                  <from>
                    <xdr:col>23</xdr:col>
                    <xdr:colOff>47625</xdr:colOff>
                    <xdr:row>55</xdr:row>
                    <xdr:rowOff>38100</xdr:rowOff>
                  </from>
                  <to>
                    <xdr:col>23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0" r:id="rId1135" name="Check Box 1134">
              <controlPr defaultSize="0" autoFill="0" autoLine="0" autoPict="0">
                <anchor moveWithCells="1">
                  <from>
                    <xdr:col>24</xdr:col>
                    <xdr:colOff>47625</xdr:colOff>
                    <xdr:row>55</xdr:row>
                    <xdr:rowOff>38100</xdr:rowOff>
                  </from>
                  <to>
                    <xdr:col>24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1" r:id="rId1136" name="Check Box 1135">
              <controlPr defaultSize="0" autoFill="0" autoLine="0" autoPict="0">
                <anchor moveWithCells="1">
                  <from>
                    <xdr:col>25</xdr:col>
                    <xdr:colOff>47625</xdr:colOff>
                    <xdr:row>55</xdr:row>
                    <xdr:rowOff>38100</xdr:rowOff>
                  </from>
                  <to>
                    <xdr:col>25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2" r:id="rId1137" name="Check Box 1136">
              <controlPr defaultSize="0" autoFill="0" autoLine="0" autoPict="0">
                <anchor moveWithCells="1">
                  <from>
                    <xdr:col>26</xdr:col>
                    <xdr:colOff>47625</xdr:colOff>
                    <xdr:row>55</xdr:row>
                    <xdr:rowOff>38100</xdr:rowOff>
                  </from>
                  <to>
                    <xdr:col>26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3" r:id="rId1138" name="Check Box 1137">
              <controlPr defaultSize="0" autoFill="0" autoLine="0" autoPict="0">
                <anchor moveWithCells="1">
                  <from>
                    <xdr:col>27</xdr:col>
                    <xdr:colOff>47625</xdr:colOff>
                    <xdr:row>55</xdr:row>
                    <xdr:rowOff>38100</xdr:rowOff>
                  </from>
                  <to>
                    <xdr:col>27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4" r:id="rId1139" name="Check Box 1138">
              <controlPr defaultSize="0" autoFill="0" autoLine="0" autoPict="0">
                <anchor moveWithCells="1">
                  <from>
                    <xdr:col>28</xdr:col>
                    <xdr:colOff>47625</xdr:colOff>
                    <xdr:row>55</xdr:row>
                    <xdr:rowOff>38100</xdr:rowOff>
                  </from>
                  <to>
                    <xdr:col>28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5" r:id="rId1140" name="Check Box 1139">
              <controlPr defaultSize="0" autoFill="0" autoLine="0" autoPict="0">
                <anchor moveWithCells="1">
                  <from>
                    <xdr:col>29</xdr:col>
                    <xdr:colOff>47625</xdr:colOff>
                    <xdr:row>55</xdr:row>
                    <xdr:rowOff>38100</xdr:rowOff>
                  </from>
                  <to>
                    <xdr:col>29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6" r:id="rId1141" name="Check Box 1140">
              <controlPr defaultSize="0" autoFill="0" autoLine="0" autoPict="0">
                <anchor moveWithCells="1">
                  <from>
                    <xdr:col>30</xdr:col>
                    <xdr:colOff>47625</xdr:colOff>
                    <xdr:row>55</xdr:row>
                    <xdr:rowOff>38100</xdr:rowOff>
                  </from>
                  <to>
                    <xdr:col>30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7" r:id="rId1142" name="Check Box 1141">
              <controlPr defaultSize="0" autoFill="0" autoLine="0" autoPict="0">
                <anchor moveWithCells="1">
                  <from>
                    <xdr:col>31</xdr:col>
                    <xdr:colOff>47625</xdr:colOff>
                    <xdr:row>55</xdr:row>
                    <xdr:rowOff>38100</xdr:rowOff>
                  </from>
                  <to>
                    <xdr:col>31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8" r:id="rId1143" name="Check Box 1142">
              <controlPr defaultSize="0" autoFill="0" autoLine="0" autoPict="0">
                <anchor moveWithCells="1">
                  <from>
                    <xdr:col>32</xdr:col>
                    <xdr:colOff>47625</xdr:colOff>
                    <xdr:row>55</xdr:row>
                    <xdr:rowOff>38100</xdr:rowOff>
                  </from>
                  <to>
                    <xdr:col>32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9" r:id="rId1144" name="Check Box 1143">
              <controlPr defaultSize="0" autoFill="0" autoLine="0" autoPict="0">
                <anchor moveWithCells="1">
                  <from>
                    <xdr:col>33</xdr:col>
                    <xdr:colOff>47625</xdr:colOff>
                    <xdr:row>55</xdr:row>
                    <xdr:rowOff>38100</xdr:rowOff>
                  </from>
                  <to>
                    <xdr:col>33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0" r:id="rId1145" name="Check Box 1144">
              <controlPr defaultSize="0" autoFill="0" autoLine="0" autoPict="0">
                <anchor moveWithCells="1">
                  <from>
                    <xdr:col>34</xdr:col>
                    <xdr:colOff>47625</xdr:colOff>
                    <xdr:row>55</xdr:row>
                    <xdr:rowOff>38100</xdr:rowOff>
                  </from>
                  <to>
                    <xdr:col>34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1" r:id="rId1146" name="Check Box 1145">
              <controlPr defaultSize="0" autoFill="0" autoLine="0" autoPict="0">
                <anchor moveWithCells="1">
                  <from>
                    <xdr:col>35</xdr:col>
                    <xdr:colOff>47625</xdr:colOff>
                    <xdr:row>55</xdr:row>
                    <xdr:rowOff>38100</xdr:rowOff>
                  </from>
                  <to>
                    <xdr:col>35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2" r:id="rId1147" name="Check Box 1146">
              <controlPr defaultSize="0" autoFill="0" autoLine="0" autoPict="0">
                <anchor moveWithCells="1">
                  <from>
                    <xdr:col>36</xdr:col>
                    <xdr:colOff>47625</xdr:colOff>
                    <xdr:row>55</xdr:row>
                    <xdr:rowOff>38100</xdr:rowOff>
                  </from>
                  <to>
                    <xdr:col>36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3" r:id="rId1148" name="Check Box 1147">
              <controlPr defaultSize="0" autoFill="0" autoLine="0" autoPict="0">
                <anchor moveWithCells="1">
                  <from>
                    <xdr:col>37</xdr:col>
                    <xdr:colOff>47625</xdr:colOff>
                    <xdr:row>55</xdr:row>
                    <xdr:rowOff>38100</xdr:rowOff>
                  </from>
                  <to>
                    <xdr:col>37</xdr:col>
                    <xdr:colOff>342900</xdr:colOff>
                    <xdr:row>55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4" r:id="rId1149" name="Check Box 1148">
              <controlPr defaultSize="0" autoFill="0" autoLine="0" autoPict="0">
                <anchor moveWithCells="1">
                  <from>
                    <xdr:col>7</xdr:col>
                    <xdr:colOff>47625</xdr:colOff>
                    <xdr:row>56</xdr:row>
                    <xdr:rowOff>38100</xdr:rowOff>
                  </from>
                  <to>
                    <xdr:col>7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5" r:id="rId1150" name="Check Box 1149">
              <controlPr defaultSize="0" autoFill="0" autoLine="0" autoPict="0">
                <anchor moveWithCells="1">
                  <from>
                    <xdr:col>8</xdr:col>
                    <xdr:colOff>47625</xdr:colOff>
                    <xdr:row>56</xdr:row>
                    <xdr:rowOff>38100</xdr:rowOff>
                  </from>
                  <to>
                    <xdr:col>8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6" r:id="rId1151" name="Check Box 1150">
              <controlPr defaultSize="0" autoFill="0" autoLine="0" autoPict="0">
                <anchor moveWithCells="1">
                  <from>
                    <xdr:col>9</xdr:col>
                    <xdr:colOff>47625</xdr:colOff>
                    <xdr:row>56</xdr:row>
                    <xdr:rowOff>38100</xdr:rowOff>
                  </from>
                  <to>
                    <xdr:col>9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7" r:id="rId1152" name="Check Box 1151">
              <controlPr defaultSize="0" autoFill="0" autoLine="0" autoPict="0">
                <anchor moveWithCells="1">
                  <from>
                    <xdr:col>10</xdr:col>
                    <xdr:colOff>47625</xdr:colOff>
                    <xdr:row>56</xdr:row>
                    <xdr:rowOff>38100</xdr:rowOff>
                  </from>
                  <to>
                    <xdr:col>10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8" r:id="rId1153" name="Check Box 1152">
              <controlPr defaultSize="0" autoFill="0" autoLine="0" autoPict="0">
                <anchor moveWithCells="1">
                  <from>
                    <xdr:col>11</xdr:col>
                    <xdr:colOff>47625</xdr:colOff>
                    <xdr:row>56</xdr:row>
                    <xdr:rowOff>38100</xdr:rowOff>
                  </from>
                  <to>
                    <xdr:col>11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9" r:id="rId1154" name="Check Box 1153">
              <controlPr defaultSize="0" autoFill="0" autoLine="0" autoPict="0">
                <anchor moveWithCells="1">
                  <from>
                    <xdr:col>12</xdr:col>
                    <xdr:colOff>47625</xdr:colOff>
                    <xdr:row>56</xdr:row>
                    <xdr:rowOff>38100</xdr:rowOff>
                  </from>
                  <to>
                    <xdr:col>12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0" r:id="rId1155" name="Check Box 1154">
              <controlPr defaultSize="0" autoFill="0" autoLine="0" autoPict="0">
                <anchor moveWithCells="1">
                  <from>
                    <xdr:col>13</xdr:col>
                    <xdr:colOff>47625</xdr:colOff>
                    <xdr:row>56</xdr:row>
                    <xdr:rowOff>38100</xdr:rowOff>
                  </from>
                  <to>
                    <xdr:col>13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1" r:id="rId1156" name="Check Box 1155">
              <controlPr defaultSize="0" autoFill="0" autoLine="0" autoPict="0">
                <anchor moveWithCells="1">
                  <from>
                    <xdr:col>14</xdr:col>
                    <xdr:colOff>47625</xdr:colOff>
                    <xdr:row>56</xdr:row>
                    <xdr:rowOff>38100</xdr:rowOff>
                  </from>
                  <to>
                    <xdr:col>14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2" r:id="rId1157" name="Check Box 1156">
              <controlPr defaultSize="0" autoFill="0" autoLine="0" autoPict="0">
                <anchor moveWithCells="1">
                  <from>
                    <xdr:col>15</xdr:col>
                    <xdr:colOff>47625</xdr:colOff>
                    <xdr:row>56</xdr:row>
                    <xdr:rowOff>38100</xdr:rowOff>
                  </from>
                  <to>
                    <xdr:col>15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3" r:id="rId1158" name="Check Box 1157">
              <controlPr defaultSize="0" autoFill="0" autoLine="0" autoPict="0">
                <anchor moveWithCells="1">
                  <from>
                    <xdr:col>16</xdr:col>
                    <xdr:colOff>47625</xdr:colOff>
                    <xdr:row>56</xdr:row>
                    <xdr:rowOff>38100</xdr:rowOff>
                  </from>
                  <to>
                    <xdr:col>16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4" r:id="rId1159" name="Check Box 1158">
              <controlPr defaultSize="0" autoFill="0" autoLine="0" autoPict="0">
                <anchor moveWithCells="1">
                  <from>
                    <xdr:col>17</xdr:col>
                    <xdr:colOff>47625</xdr:colOff>
                    <xdr:row>56</xdr:row>
                    <xdr:rowOff>38100</xdr:rowOff>
                  </from>
                  <to>
                    <xdr:col>17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5" r:id="rId1160" name="Check Box 1159">
              <controlPr defaultSize="0" autoFill="0" autoLine="0" autoPict="0">
                <anchor moveWithCells="1">
                  <from>
                    <xdr:col>18</xdr:col>
                    <xdr:colOff>47625</xdr:colOff>
                    <xdr:row>56</xdr:row>
                    <xdr:rowOff>38100</xdr:rowOff>
                  </from>
                  <to>
                    <xdr:col>18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6" r:id="rId1161" name="Check Box 1160">
              <controlPr defaultSize="0" autoFill="0" autoLine="0" autoPict="0">
                <anchor moveWithCells="1">
                  <from>
                    <xdr:col>19</xdr:col>
                    <xdr:colOff>47625</xdr:colOff>
                    <xdr:row>56</xdr:row>
                    <xdr:rowOff>38100</xdr:rowOff>
                  </from>
                  <to>
                    <xdr:col>19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7" r:id="rId1162" name="Check Box 1161">
              <controlPr defaultSize="0" autoFill="0" autoLine="0" autoPict="0">
                <anchor moveWithCells="1">
                  <from>
                    <xdr:col>20</xdr:col>
                    <xdr:colOff>47625</xdr:colOff>
                    <xdr:row>56</xdr:row>
                    <xdr:rowOff>38100</xdr:rowOff>
                  </from>
                  <to>
                    <xdr:col>20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8" r:id="rId1163" name="Check Box 1162">
              <controlPr defaultSize="0" autoFill="0" autoLine="0" autoPict="0">
                <anchor moveWithCells="1">
                  <from>
                    <xdr:col>21</xdr:col>
                    <xdr:colOff>47625</xdr:colOff>
                    <xdr:row>56</xdr:row>
                    <xdr:rowOff>38100</xdr:rowOff>
                  </from>
                  <to>
                    <xdr:col>21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9" r:id="rId1164" name="Check Box 1163">
              <controlPr defaultSize="0" autoFill="0" autoLine="0" autoPict="0">
                <anchor moveWithCells="1">
                  <from>
                    <xdr:col>22</xdr:col>
                    <xdr:colOff>47625</xdr:colOff>
                    <xdr:row>56</xdr:row>
                    <xdr:rowOff>38100</xdr:rowOff>
                  </from>
                  <to>
                    <xdr:col>22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0" r:id="rId1165" name="Check Box 1164">
              <controlPr defaultSize="0" autoFill="0" autoLine="0" autoPict="0">
                <anchor moveWithCells="1">
                  <from>
                    <xdr:col>23</xdr:col>
                    <xdr:colOff>47625</xdr:colOff>
                    <xdr:row>56</xdr:row>
                    <xdr:rowOff>38100</xdr:rowOff>
                  </from>
                  <to>
                    <xdr:col>23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1" r:id="rId1166" name="Check Box 1165">
              <controlPr defaultSize="0" autoFill="0" autoLine="0" autoPict="0">
                <anchor moveWithCells="1">
                  <from>
                    <xdr:col>24</xdr:col>
                    <xdr:colOff>47625</xdr:colOff>
                    <xdr:row>56</xdr:row>
                    <xdr:rowOff>38100</xdr:rowOff>
                  </from>
                  <to>
                    <xdr:col>24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2" r:id="rId1167" name="Check Box 1166">
              <controlPr defaultSize="0" autoFill="0" autoLine="0" autoPict="0">
                <anchor moveWithCells="1">
                  <from>
                    <xdr:col>25</xdr:col>
                    <xdr:colOff>47625</xdr:colOff>
                    <xdr:row>56</xdr:row>
                    <xdr:rowOff>38100</xdr:rowOff>
                  </from>
                  <to>
                    <xdr:col>25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3" r:id="rId1168" name="Check Box 1167">
              <controlPr defaultSize="0" autoFill="0" autoLine="0" autoPict="0">
                <anchor moveWithCells="1">
                  <from>
                    <xdr:col>26</xdr:col>
                    <xdr:colOff>47625</xdr:colOff>
                    <xdr:row>56</xdr:row>
                    <xdr:rowOff>38100</xdr:rowOff>
                  </from>
                  <to>
                    <xdr:col>26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4" r:id="rId1169" name="Check Box 1168">
              <controlPr defaultSize="0" autoFill="0" autoLine="0" autoPict="0">
                <anchor moveWithCells="1">
                  <from>
                    <xdr:col>27</xdr:col>
                    <xdr:colOff>47625</xdr:colOff>
                    <xdr:row>56</xdr:row>
                    <xdr:rowOff>38100</xdr:rowOff>
                  </from>
                  <to>
                    <xdr:col>27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5" r:id="rId1170" name="Check Box 1169">
              <controlPr defaultSize="0" autoFill="0" autoLine="0" autoPict="0">
                <anchor moveWithCells="1">
                  <from>
                    <xdr:col>28</xdr:col>
                    <xdr:colOff>47625</xdr:colOff>
                    <xdr:row>56</xdr:row>
                    <xdr:rowOff>38100</xdr:rowOff>
                  </from>
                  <to>
                    <xdr:col>28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6" r:id="rId1171" name="Check Box 1170">
              <controlPr defaultSize="0" autoFill="0" autoLine="0" autoPict="0">
                <anchor moveWithCells="1">
                  <from>
                    <xdr:col>29</xdr:col>
                    <xdr:colOff>47625</xdr:colOff>
                    <xdr:row>56</xdr:row>
                    <xdr:rowOff>38100</xdr:rowOff>
                  </from>
                  <to>
                    <xdr:col>29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7" r:id="rId1172" name="Check Box 1171">
              <controlPr defaultSize="0" autoFill="0" autoLine="0" autoPict="0">
                <anchor moveWithCells="1">
                  <from>
                    <xdr:col>30</xdr:col>
                    <xdr:colOff>47625</xdr:colOff>
                    <xdr:row>56</xdr:row>
                    <xdr:rowOff>38100</xdr:rowOff>
                  </from>
                  <to>
                    <xdr:col>30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8" r:id="rId1173" name="Check Box 1172">
              <controlPr defaultSize="0" autoFill="0" autoLine="0" autoPict="0">
                <anchor moveWithCells="1">
                  <from>
                    <xdr:col>31</xdr:col>
                    <xdr:colOff>47625</xdr:colOff>
                    <xdr:row>56</xdr:row>
                    <xdr:rowOff>38100</xdr:rowOff>
                  </from>
                  <to>
                    <xdr:col>31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9" r:id="rId1174" name="Check Box 1173">
              <controlPr defaultSize="0" autoFill="0" autoLine="0" autoPict="0">
                <anchor moveWithCells="1">
                  <from>
                    <xdr:col>32</xdr:col>
                    <xdr:colOff>47625</xdr:colOff>
                    <xdr:row>56</xdr:row>
                    <xdr:rowOff>38100</xdr:rowOff>
                  </from>
                  <to>
                    <xdr:col>32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0" r:id="rId1175" name="Check Box 1174">
              <controlPr defaultSize="0" autoFill="0" autoLine="0" autoPict="0">
                <anchor moveWithCells="1">
                  <from>
                    <xdr:col>33</xdr:col>
                    <xdr:colOff>47625</xdr:colOff>
                    <xdr:row>56</xdr:row>
                    <xdr:rowOff>38100</xdr:rowOff>
                  </from>
                  <to>
                    <xdr:col>33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1" r:id="rId1176" name="Check Box 1175">
              <controlPr defaultSize="0" autoFill="0" autoLine="0" autoPict="0">
                <anchor moveWithCells="1">
                  <from>
                    <xdr:col>34</xdr:col>
                    <xdr:colOff>47625</xdr:colOff>
                    <xdr:row>56</xdr:row>
                    <xdr:rowOff>38100</xdr:rowOff>
                  </from>
                  <to>
                    <xdr:col>34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2" r:id="rId1177" name="Check Box 1176">
              <controlPr defaultSize="0" autoFill="0" autoLine="0" autoPict="0">
                <anchor moveWithCells="1">
                  <from>
                    <xdr:col>35</xdr:col>
                    <xdr:colOff>47625</xdr:colOff>
                    <xdr:row>56</xdr:row>
                    <xdr:rowOff>38100</xdr:rowOff>
                  </from>
                  <to>
                    <xdr:col>35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3" r:id="rId1178" name="Check Box 1177">
              <controlPr defaultSize="0" autoFill="0" autoLine="0" autoPict="0">
                <anchor moveWithCells="1">
                  <from>
                    <xdr:col>36</xdr:col>
                    <xdr:colOff>47625</xdr:colOff>
                    <xdr:row>56</xdr:row>
                    <xdr:rowOff>38100</xdr:rowOff>
                  </from>
                  <to>
                    <xdr:col>36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4" r:id="rId1179" name="Check Box 1178">
              <controlPr defaultSize="0" autoFill="0" autoLine="0" autoPict="0">
                <anchor moveWithCells="1">
                  <from>
                    <xdr:col>37</xdr:col>
                    <xdr:colOff>47625</xdr:colOff>
                    <xdr:row>56</xdr:row>
                    <xdr:rowOff>38100</xdr:rowOff>
                  </from>
                  <to>
                    <xdr:col>37</xdr:col>
                    <xdr:colOff>342900</xdr:colOff>
                    <xdr:row>56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5" r:id="rId1180" name="Check Box 1179">
              <controlPr defaultSize="0" autoFill="0" autoLine="0" autoPict="0">
                <anchor moveWithCells="1">
                  <from>
                    <xdr:col>7</xdr:col>
                    <xdr:colOff>47625</xdr:colOff>
                    <xdr:row>57</xdr:row>
                    <xdr:rowOff>38100</xdr:rowOff>
                  </from>
                  <to>
                    <xdr:col>7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6" r:id="rId1181" name="Check Box 1180">
              <controlPr defaultSize="0" autoFill="0" autoLine="0" autoPict="0">
                <anchor moveWithCells="1">
                  <from>
                    <xdr:col>8</xdr:col>
                    <xdr:colOff>47625</xdr:colOff>
                    <xdr:row>57</xdr:row>
                    <xdr:rowOff>38100</xdr:rowOff>
                  </from>
                  <to>
                    <xdr:col>8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7" r:id="rId1182" name="Check Box 1181">
              <controlPr defaultSize="0" autoFill="0" autoLine="0" autoPict="0">
                <anchor moveWithCells="1">
                  <from>
                    <xdr:col>9</xdr:col>
                    <xdr:colOff>47625</xdr:colOff>
                    <xdr:row>57</xdr:row>
                    <xdr:rowOff>38100</xdr:rowOff>
                  </from>
                  <to>
                    <xdr:col>9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8" r:id="rId1183" name="Check Box 1182">
              <controlPr defaultSize="0" autoFill="0" autoLine="0" autoPict="0">
                <anchor moveWithCells="1">
                  <from>
                    <xdr:col>10</xdr:col>
                    <xdr:colOff>47625</xdr:colOff>
                    <xdr:row>57</xdr:row>
                    <xdr:rowOff>38100</xdr:rowOff>
                  </from>
                  <to>
                    <xdr:col>10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9" r:id="rId1184" name="Check Box 1183">
              <controlPr defaultSize="0" autoFill="0" autoLine="0" autoPict="0">
                <anchor moveWithCells="1">
                  <from>
                    <xdr:col>11</xdr:col>
                    <xdr:colOff>47625</xdr:colOff>
                    <xdr:row>57</xdr:row>
                    <xdr:rowOff>38100</xdr:rowOff>
                  </from>
                  <to>
                    <xdr:col>11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0" r:id="rId1185" name="Check Box 1184">
              <controlPr defaultSize="0" autoFill="0" autoLine="0" autoPict="0">
                <anchor moveWithCells="1">
                  <from>
                    <xdr:col>12</xdr:col>
                    <xdr:colOff>47625</xdr:colOff>
                    <xdr:row>57</xdr:row>
                    <xdr:rowOff>38100</xdr:rowOff>
                  </from>
                  <to>
                    <xdr:col>12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1" r:id="rId1186" name="Check Box 1185">
              <controlPr defaultSize="0" autoFill="0" autoLine="0" autoPict="0">
                <anchor moveWithCells="1">
                  <from>
                    <xdr:col>13</xdr:col>
                    <xdr:colOff>47625</xdr:colOff>
                    <xdr:row>57</xdr:row>
                    <xdr:rowOff>38100</xdr:rowOff>
                  </from>
                  <to>
                    <xdr:col>13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2" r:id="rId1187" name="Check Box 1186">
              <controlPr defaultSize="0" autoFill="0" autoLine="0" autoPict="0">
                <anchor moveWithCells="1">
                  <from>
                    <xdr:col>14</xdr:col>
                    <xdr:colOff>47625</xdr:colOff>
                    <xdr:row>57</xdr:row>
                    <xdr:rowOff>38100</xdr:rowOff>
                  </from>
                  <to>
                    <xdr:col>14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" r:id="rId1188" name="Check Box 1187">
              <controlPr defaultSize="0" autoFill="0" autoLine="0" autoPict="0">
                <anchor moveWithCells="1">
                  <from>
                    <xdr:col>15</xdr:col>
                    <xdr:colOff>47625</xdr:colOff>
                    <xdr:row>57</xdr:row>
                    <xdr:rowOff>38100</xdr:rowOff>
                  </from>
                  <to>
                    <xdr:col>15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" r:id="rId1189" name="Check Box 1188">
              <controlPr defaultSize="0" autoFill="0" autoLine="0" autoPict="0">
                <anchor moveWithCells="1">
                  <from>
                    <xdr:col>16</xdr:col>
                    <xdr:colOff>47625</xdr:colOff>
                    <xdr:row>57</xdr:row>
                    <xdr:rowOff>38100</xdr:rowOff>
                  </from>
                  <to>
                    <xdr:col>16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5" r:id="rId1190" name="Check Box 1189">
              <controlPr defaultSize="0" autoFill="0" autoLine="0" autoPict="0">
                <anchor moveWithCells="1">
                  <from>
                    <xdr:col>17</xdr:col>
                    <xdr:colOff>47625</xdr:colOff>
                    <xdr:row>57</xdr:row>
                    <xdr:rowOff>38100</xdr:rowOff>
                  </from>
                  <to>
                    <xdr:col>17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6" r:id="rId1191" name="Check Box 1190">
              <controlPr defaultSize="0" autoFill="0" autoLine="0" autoPict="0">
                <anchor moveWithCells="1">
                  <from>
                    <xdr:col>18</xdr:col>
                    <xdr:colOff>47625</xdr:colOff>
                    <xdr:row>57</xdr:row>
                    <xdr:rowOff>38100</xdr:rowOff>
                  </from>
                  <to>
                    <xdr:col>18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7" r:id="rId1192" name="Check Box 1191">
              <controlPr defaultSize="0" autoFill="0" autoLine="0" autoPict="0">
                <anchor moveWithCells="1">
                  <from>
                    <xdr:col>19</xdr:col>
                    <xdr:colOff>47625</xdr:colOff>
                    <xdr:row>57</xdr:row>
                    <xdr:rowOff>38100</xdr:rowOff>
                  </from>
                  <to>
                    <xdr:col>19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8" r:id="rId1193" name="Check Box 1192">
              <controlPr defaultSize="0" autoFill="0" autoLine="0" autoPict="0">
                <anchor moveWithCells="1">
                  <from>
                    <xdr:col>20</xdr:col>
                    <xdr:colOff>47625</xdr:colOff>
                    <xdr:row>57</xdr:row>
                    <xdr:rowOff>38100</xdr:rowOff>
                  </from>
                  <to>
                    <xdr:col>20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9" r:id="rId1194" name="Check Box 1193">
              <controlPr defaultSize="0" autoFill="0" autoLine="0" autoPict="0">
                <anchor moveWithCells="1">
                  <from>
                    <xdr:col>21</xdr:col>
                    <xdr:colOff>47625</xdr:colOff>
                    <xdr:row>57</xdr:row>
                    <xdr:rowOff>38100</xdr:rowOff>
                  </from>
                  <to>
                    <xdr:col>21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0" r:id="rId1195" name="Check Box 1194">
              <controlPr defaultSize="0" autoFill="0" autoLine="0" autoPict="0">
                <anchor moveWithCells="1">
                  <from>
                    <xdr:col>22</xdr:col>
                    <xdr:colOff>47625</xdr:colOff>
                    <xdr:row>57</xdr:row>
                    <xdr:rowOff>38100</xdr:rowOff>
                  </from>
                  <to>
                    <xdr:col>22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1" r:id="rId1196" name="Check Box 1195">
              <controlPr defaultSize="0" autoFill="0" autoLine="0" autoPict="0">
                <anchor moveWithCells="1">
                  <from>
                    <xdr:col>23</xdr:col>
                    <xdr:colOff>47625</xdr:colOff>
                    <xdr:row>57</xdr:row>
                    <xdr:rowOff>38100</xdr:rowOff>
                  </from>
                  <to>
                    <xdr:col>23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2" r:id="rId1197" name="Check Box 1196">
              <controlPr defaultSize="0" autoFill="0" autoLine="0" autoPict="0">
                <anchor moveWithCells="1">
                  <from>
                    <xdr:col>24</xdr:col>
                    <xdr:colOff>47625</xdr:colOff>
                    <xdr:row>57</xdr:row>
                    <xdr:rowOff>38100</xdr:rowOff>
                  </from>
                  <to>
                    <xdr:col>24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3" r:id="rId1198" name="Check Box 1197">
              <controlPr defaultSize="0" autoFill="0" autoLine="0" autoPict="0">
                <anchor moveWithCells="1">
                  <from>
                    <xdr:col>25</xdr:col>
                    <xdr:colOff>47625</xdr:colOff>
                    <xdr:row>57</xdr:row>
                    <xdr:rowOff>38100</xdr:rowOff>
                  </from>
                  <to>
                    <xdr:col>25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4" r:id="rId1199" name="Check Box 1198">
              <controlPr defaultSize="0" autoFill="0" autoLine="0" autoPict="0">
                <anchor moveWithCells="1">
                  <from>
                    <xdr:col>26</xdr:col>
                    <xdr:colOff>47625</xdr:colOff>
                    <xdr:row>57</xdr:row>
                    <xdr:rowOff>38100</xdr:rowOff>
                  </from>
                  <to>
                    <xdr:col>26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5" r:id="rId1200" name="Check Box 1199">
              <controlPr defaultSize="0" autoFill="0" autoLine="0" autoPict="0">
                <anchor moveWithCells="1">
                  <from>
                    <xdr:col>27</xdr:col>
                    <xdr:colOff>47625</xdr:colOff>
                    <xdr:row>57</xdr:row>
                    <xdr:rowOff>38100</xdr:rowOff>
                  </from>
                  <to>
                    <xdr:col>27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6" r:id="rId1201" name="Check Box 1200">
              <controlPr defaultSize="0" autoFill="0" autoLine="0" autoPict="0">
                <anchor moveWithCells="1">
                  <from>
                    <xdr:col>28</xdr:col>
                    <xdr:colOff>47625</xdr:colOff>
                    <xdr:row>57</xdr:row>
                    <xdr:rowOff>38100</xdr:rowOff>
                  </from>
                  <to>
                    <xdr:col>28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7" r:id="rId1202" name="Check Box 1201">
              <controlPr defaultSize="0" autoFill="0" autoLine="0" autoPict="0">
                <anchor moveWithCells="1">
                  <from>
                    <xdr:col>29</xdr:col>
                    <xdr:colOff>47625</xdr:colOff>
                    <xdr:row>57</xdr:row>
                    <xdr:rowOff>38100</xdr:rowOff>
                  </from>
                  <to>
                    <xdr:col>29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8" r:id="rId1203" name="Check Box 1202">
              <controlPr defaultSize="0" autoFill="0" autoLine="0" autoPict="0">
                <anchor moveWithCells="1">
                  <from>
                    <xdr:col>30</xdr:col>
                    <xdr:colOff>47625</xdr:colOff>
                    <xdr:row>57</xdr:row>
                    <xdr:rowOff>38100</xdr:rowOff>
                  </from>
                  <to>
                    <xdr:col>30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9" r:id="rId1204" name="Check Box 1203">
              <controlPr defaultSize="0" autoFill="0" autoLine="0" autoPict="0">
                <anchor moveWithCells="1">
                  <from>
                    <xdr:col>31</xdr:col>
                    <xdr:colOff>47625</xdr:colOff>
                    <xdr:row>57</xdr:row>
                    <xdr:rowOff>38100</xdr:rowOff>
                  </from>
                  <to>
                    <xdr:col>31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0" r:id="rId1205" name="Check Box 1204">
              <controlPr defaultSize="0" autoFill="0" autoLine="0" autoPict="0">
                <anchor moveWithCells="1">
                  <from>
                    <xdr:col>32</xdr:col>
                    <xdr:colOff>47625</xdr:colOff>
                    <xdr:row>57</xdr:row>
                    <xdr:rowOff>38100</xdr:rowOff>
                  </from>
                  <to>
                    <xdr:col>32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1" r:id="rId1206" name="Check Box 1205">
              <controlPr defaultSize="0" autoFill="0" autoLine="0" autoPict="0">
                <anchor moveWithCells="1">
                  <from>
                    <xdr:col>33</xdr:col>
                    <xdr:colOff>47625</xdr:colOff>
                    <xdr:row>57</xdr:row>
                    <xdr:rowOff>38100</xdr:rowOff>
                  </from>
                  <to>
                    <xdr:col>33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2" r:id="rId1207" name="Check Box 1206">
              <controlPr defaultSize="0" autoFill="0" autoLine="0" autoPict="0">
                <anchor moveWithCells="1">
                  <from>
                    <xdr:col>34</xdr:col>
                    <xdr:colOff>47625</xdr:colOff>
                    <xdr:row>57</xdr:row>
                    <xdr:rowOff>38100</xdr:rowOff>
                  </from>
                  <to>
                    <xdr:col>34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3" r:id="rId1208" name="Check Box 1207">
              <controlPr defaultSize="0" autoFill="0" autoLine="0" autoPict="0">
                <anchor moveWithCells="1">
                  <from>
                    <xdr:col>35</xdr:col>
                    <xdr:colOff>47625</xdr:colOff>
                    <xdr:row>57</xdr:row>
                    <xdr:rowOff>38100</xdr:rowOff>
                  </from>
                  <to>
                    <xdr:col>35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4" r:id="rId1209" name="Check Box 1208">
              <controlPr defaultSize="0" autoFill="0" autoLine="0" autoPict="0">
                <anchor moveWithCells="1">
                  <from>
                    <xdr:col>36</xdr:col>
                    <xdr:colOff>47625</xdr:colOff>
                    <xdr:row>57</xdr:row>
                    <xdr:rowOff>38100</xdr:rowOff>
                  </from>
                  <to>
                    <xdr:col>36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5" r:id="rId1210" name="Check Box 1209">
              <controlPr defaultSize="0" autoFill="0" autoLine="0" autoPict="0">
                <anchor moveWithCells="1">
                  <from>
                    <xdr:col>37</xdr:col>
                    <xdr:colOff>47625</xdr:colOff>
                    <xdr:row>57</xdr:row>
                    <xdr:rowOff>38100</xdr:rowOff>
                  </from>
                  <to>
                    <xdr:col>37</xdr:col>
                    <xdr:colOff>342900</xdr:colOff>
                    <xdr:row>57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6" r:id="rId1211" name="Check Box 1210">
              <controlPr defaultSize="0" autoFill="0" autoLine="0" autoPict="0">
                <anchor moveWithCells="1">
                  <from>
                    <xdr:col>7</xdr:col>
                    <xdr:colOff>47625</xdr:colOff>
                    <xdr:row>58</xdr:row>
                    <xdr:rowOff>38100</xdr:rowOff>
                  </from>
                  <to>
                    <xdr:col>7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7" r:id="rId1212" name="Check Box 1211">
              <controlPr defaultSize="0" autoFill="0" autoLine="0" autoPict="0">
                <anchor moveWithCells="1">
                  <from>
                    <xdr:col>8</xdr:col>
                    <xdr:colOff>47625</xdr:colOff>
                    <xdr:row>58</xdr:row>
                    <xdr:rowOff>38100</xdr:rowOff>
                  </from>
                  <to>
                    <xdr:col>8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8" r:id="rId1213" name="Check Box 1212">
              <controlPr defaultSize="0" autoFill="0" autoLine="0" autoPict="0">
                <anchor moveWithCells="1">
                  <from>
                    <xdr:col>9</xdr:col>
                    <xdr:colOff>47625</xdr:colOff>
                    <xdr:row>58</xdr:row>
                    <xdr:rowOff>38100</xdr:rowOff>
                  </from>
                  <to>
                    <xdr:col>9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9" r:id="rId1214" name="Check Box 1213">
              <controlPr defaultSize="0" autoFill="0" autoLine="0" autoPict="0">
                <anchor moveWithCells="1">
                  <from>
                    <xdr:col>10</xdr:col>
                    <xdr:colOff>47625</xdr:colOff>
                    <xdr:row>58</xdr:row>
                    <xdr:rowOff>38100</xdr:rowOff>
                  </from>
                  <to>
                    <xdr:col>10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0" r:id="rId1215" name="Check Box 1214">
              <controlPr defaultSize="0" autoFill="0" autoLine="0" autoPict="0">
                <anchor moveWithCells="1">
                  <from>
                    <xdr:col>11</xdr:col>
                    <xdr:colOff>47625</xdr:colOff>
                    <xdr:row>58</xdr:row>
                    <xdr:rowOff>38100</xdr:rowOff>
                  </from>
                  <to>
                    <xdr:col>11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1" r:id="rId1216" name="Check Box 1215">
              <controlPr defaultSize="0" autoFill="0" autoLine="0" autoPict="0">
                <anchor moveWithCells="1">
                  <from>
                    <xdr:col>12</xdr:col>
                    <xdr:colOff>47625</xdr:colOff>
                    <xdr:row>58</xdr:row>
                    <xdr:rowOff>38100</xdr:rowOff>
                  </from>
                  <to>
                    <xdr:col>12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2" r:id="rId1217" name="Check Box 1216">
              <controlPr defaultSize="0" autoFill="0" autoLine="0" autoPict="0">
                <anchor moveWithCells="1">
                  <from>
                    <xdr:col>13</xdr:col>
                    <xdr:colOff>47625</xdr:colOff>
                    <xdr:row>58</xdr:row>
                    <xdr:rowOff>38100</xdr:rowOff>
                  </from>
                  <to>
                    <xdr:col>13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3" r:id="rId1218" name="Check Box 1217">
              <controlPr defaultSize="0" autoFill="0" autoLine="0" autoPict="0">
                <anchor moveWithCells="1">
                  <from>
                    <xdr:col>14</xdr:col>
                    <xdr:colOff>47625</xdr:colOff>
                    <xdr:row>58</xdr:row>
                    <xdr:rowOff>38100</xdr:rowOff>
                  </from>
                  <to>
                    <xdr:col>14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4" r:id="rId1219" name="Check Box 1218">
              <controlPr defaultSize="0" autoFill="0" autoLine="0" autoPict="0">
                <anchor moveWithCells="1">
                  <from>
                    <xdr:col>15</xdr:col>
                    <xdr:colOff>47625</xdr:colOff>
                    <xdr:row>58</xdr:row>
                    <xdr:rowOff>38100</xdr:rowOff>
                  </from>
                  <to>
                    <xdr:col>15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5" r:id="rId1220" name="Check Box 1219">
              <controlPr defaultSize="0" autoFill="0" autoLine="0" autoPict="0">
                <anchor moveWithCells="1">
                  <from>
                    <xdr:col>16</xdr:col>
                    <xdr:colOff>47625</xdr:colOff>
                    <xdr:row>58</xdr:row>
                    <xdr:rowOff>38100</xdr:rowOff>
                  </from>
                  <to>
                    <xdr:col>16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6" r:id="rId1221" name="Check Box 1220">
              <controlPr defaultSize="0" autoFill="0" autoLine="0" autoPict="0">
                <anchor moveWithCells="1">
                  <from>
                    <xdr:col>17</xdr:col>
                    <xdr:colOff>47625</xdr:colOff>
                    <xdr:row>58</xdr:row>
                    <xdr:rowOff>38100</xdr:rowOff>
                  </from>
                  <to>
                    <xdr:col>17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7" r:id="rId1222" name="Check Box 1221">
              <controlPr defaultSize="0" autoFill="0" autoLine="0" autoPict="0">
                <anchor moveWithCells="1">
                  <from>
                    <xdr:col>18</xdr:col>
                    <xdr:colOff>47625</xdr:colOff>
                    <xdr:row>58</xdr:row>
                    <xdr:rowOff>38100</xdr:rowOff>
                  </from>
                  <to>
                    <xdr:col>18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8" r:id="rId1223" name="Check Box 1222">
              <controlPr defaultSize="0" autoFill="0" autoLine="0" autoPict="0">
                <anchor moveWithCells="1">
                  <from>
                    <xdr:col>19</xdr:col>
                    <xdr:colOff>47625</xdr:colOff>
                    <xdr:row>58</xdr:row>
                    <xdr:rowOff>38100</xdr:rowOff>
                  </from>
                  <to>
                    <xdr:col>19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9" r:id="rId1224" name="Check Box 1223">
              <controlPr defaultSize="0" autoFill="0" autoLine="0" autoPict="0">
                <anchor moveWithCells="1">
                  <from>
                    <xdr:col>20</xdr:col>
                    <xdr:colOff>47625</xdr:colOff>
                    <xdr:row>58</xdr:row>
                    <xdr:rowOff>38100</xdr:rowOff>
                  </from>
                  <to>
                    <xdr:col>20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0" r:id="rId1225" name="Check Box 1224">
              <controlPr defaultSize="0" autoFill="0" autoLine="0" autoPict="0">
                <anchor moveWithCells="1">
                  <from>
                    <xdr:col>21</xdr:col>
                    <xdr:colOff>47625</xdr:colOff>
                    <xdr:row>58</xdr:row>
                    <xdr:rowOff>38100</xdr:rowOff>
                  </from>
                  <to>
                    <xdr:col>21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1" r:id="rId1226" name="Check Box 1225">
              <controlPr defaultSize="0" autoFill="0" autoLine="0" autoPict="0">
                <anchor moveWithCells="1">
                  <from>
                    <xdr:col>22</xdr:col>
                    <xdr:colOff>47625</xdr:colOff>
                    <xdr:row>58</xdr:row>
                    <xdr:rowOff>38100</xdr:rowOff>
                  </from>
                  <to>
                    <xdr:col>22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2" r:id="rId1227" name="Check Box 1226">
              <controlPr defaultSize="0" autoFill="0" autoLine="0" autoPict="0">
                <anchor moveWithCells="1">
                  <from>
                    <xdr:col>23</xdr:col>
                    <xdr:colOff>47625</xdr:colOff>
                    <xdr:row>58</xdr:row>
                    <xdr:rowOff>38100</xdr:rowOff>
                  </from>
                  <to>
                    <xdr:col>23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3" r:id="rId1228" name="Check Box 1227">
              <controlPr defaultSize="0" autoFill="0" autoLine="0" autoPict="0">
                <anchor moveWithCells="1">
                  <from>
                    <xdr:col>24</xdr:col>
                    <xdr:colOff>47625</xdr:colOff>
                    <xdr:row>58</xdr:row>
                    <xdr:rowOff>38100</xdr:rowOff>
                  </from>
                  <to>
                    <xdr:col>24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4" r:id="rId1229" name="Check Box 1228">
              <controlPr defaultSize="0" autoFill="0" autoLine="0" autoPict="0">
                <anchor moveWithCells="1">
                  <from>
                    <xdr:col>25</xdr:col>
                    <xdr:colOff>47625</xdr:colOff>
                    <xdr:row>58</xdr:row>
                    <xdr:rowOff>38100</xdr:rowOff>
                  </from>
                  <to>
                    <xdr:col>25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" r:id="rId1230" name="Check Box 1229">
              <controlPr defaultSize="0" autoFill="0" autoLine="0" autoPict="0">
                <anchor moveWithCells="1">
                  <from>
                    <xdr:col>26</xdr:col>
                    <xdr:colOff>47625</xdr:colOff>
                    <xdr:row>58</xdr:row>
                    <xdr:rowOff>38100</xdr:rowOff>
                  </from>
                  <to>
                    <xdr:col>26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6" r:id="rId1231" name="Check Box 1230">
              <controlPr defaultSize="0" autoFill="0" autoLine="0" autoPict="0">
                <anchor moveWithCells="1">
                  <from>
                    <xdr:col>27</xdr:col>
                    <xdr:colOff>47625</xdr:colOff>
                    <xdr:row>58</xdr:row>
                    <xdr:rowOff>38100</xdr:rowOff>
                  </from>
                  <to>
                    <xdr:col>27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7" r:id="rId1232" name="Check Box 1231">
              <controlPr defaultSize="0" autoFill="0" autoLine="0" autoPict="0">
                <anchor moveWithCells="1">
                  <from>
                    <xdr:col>28</xdr:col>
                    <xdr:colOff>47625</xdr:colOff>
                    <xdr:row>58</xdr:row>
                    <xdr:rowOff>38100</xdr:rowOff>
                  </from>
                  <to>
                    <xdr:col>28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8" r:id="rId1233" name="Check Box 1232">
              <controlPr defaultSize="0" autoFill="0" autoLine="0" autoPict="0">
                <anchor moveWithCells="1">
                  <from>
                    <xdr:col>29</xdr:col>
                    <xdr:colOff>47625</xdr:colOff>
                    <xdr:row>58</xdr:row>
                    <xdr:rowOff>38100</xdr:rowOff>
                  </from>
                  <to>
                    <xdr:col>29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9" r:id="rId1234" name="Check Box 1233">
              <controlPr defaultSize="0" autoFill="0" autoLine="0" autoPict="0">
                <anchor moveWithCells="1">
                  <from>
                    <xdr:col>30</xdr:col>
                    <xdr:colOff>47625</xdr:colOff>
                    <xdr:row>58</xdr:row>
                    <xdr:rowOff>38100</xdr:rowOff>
                  </from>
                  <to>
                    <xdr:col>30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0" r:id="rId1235" name="Check Box 1234">
              <controlPr defaultSize="0" autoFill="0" autoLine="0" autoPict="0">
                <anchor moveWithCells="1">
                  <from>
                    <xdr:col>31</xdr:col>
                    <xdr:colOff>47625</xdr:colOff>
                    <xdr:row>58</xdr:row>
                    <xdr:rowOff>38100</xdr:rowOff>
                  </from>
                  <to>
                    <xdr:col>31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1" r:id="rId1236" name="Check Box 1235">
              <controlPr defaultSize="0" autoFill="0" autoLine="0" autoPict="0">
                <anchor moveWithCells="1">
                  <from>
                    <xdr:col>32</xdr:col>
                    <xdr:colOff>47625</xdr:colOff>
                    <xdr:row>58</xdr:row>
                    <xdr:rowOff>38100</xdr:rowOff>
                  </from>
                  <to>
                    <xdr:col>32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2" r:id="rId1237" name="Check Box 1236">
              <controlPr defaultSize="0" autoFill="0" autoLine="0" autoPict="0">
                <anchor moveWithCells="1">
                  <from>
                    <xdr:col>33</xdr:col>
                    <xdr:colOff>47625</xdr:colOff>
                    <xdr:row>58</xdr:row>
                    <xdr:rowOff>38100</xdr:rowOff>
                  </from>
                  <to>
                    <xdr:col>33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3" r:id="rId1238" name="Check Box 1237">
              <controlPr defaultSize="0" autoFill="0" autoLine="0" autoPict="0">
                <anchor moveWithCells="1">
                  <from>
                    <xdr:col>34</xdr:col>
                    <xdr:colOff>47625</xdr:colOff>
                    <xdr:row>58</xdr:row>
                    <xdr:rowOff>38100</xdr:rowOff>
                  </from>
                  <to>
                    <xdr:col>34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4" r:id="rId1239" name="Check Box 1238">
              <controlPr defaultSize="0" autoFill="0" autoLine="0" autoPict="0">
                <anchor moveWithCells="1">
                  <from>
                    <xdr:col>35</xdr:col>
                    <xdr:colOff>47625</xdr:colOff>
                    <xdr:row>58</xdr:row>
                    <xdr:rowOff>38100</xdr:rowOff>
                  </from>
                  <to>
                    <xdr:col>35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5" r:id="rId1240" name="Check Box 1239">
              <controlPr defaultSize="0" autoFill="0" autoLine="0" autoPict="0">
                <anchor moveWithCells="1">
                  <from>
                    <xdr:col>36</xdr:col>
                    <xdr:colOff>47625</xdr:colOff>
                    <xdr:row>58</xdr:row>
                    <xdr:rowOff>38100</xdr:rowOff>
                  </from>
                  <to>
                    <xdr:col>36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6" r:id="rId1241" name="Check Box 1240">
              <controlPr defaultSize="0" autoFill="0" autoLine="0" autoPict="0">
                <anchor moveWithCells="1">
                  <from>
                    <xdr:col>37</xdr:col>
                    <xdr:colOff>47625</xdr:colOff>
                    <xdr:row>58</xdr:row>
                    <xdr:rowOff>38100</xdr:rowOff>
                  </from>
                  <to>
                    <xdr:col>37</xdr:col>
                    <xdr:colOff>342900</xdr:colOff>
                    <xdr:row>58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7" r:id="rId1242" name="Check Box 1241">
              <controlPr defaultSize="0" autoFill="0" autoLine="0" autoPict="0">
                <anchor moveWithCells="1">
                  <from>
                    <xdr:col>7</xdr:col>
                    <xdr:colOff>47625</xdr:colOff>
                    <xdr:row>59</xdr:row>
                    <xdr:rowOff>38100</xdr:rowOff>
                  </from>
                  <to>
                    <xdr:col>7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8" r:id="rId1243" name="Check Box 1242">
              <controlPr defaultSize="0" autoFill="0" autoLine="0" autoPict="0">
                <anchor moveWithCells="1">
                  <from>
                    <xdr:col>8</xdr:col>
                    <xdr:colOff>47625</xdr:colOff>
                    <xdr:row>59</xdr:row>
                    <xdr:rowOff>38100</xdr:rowOff>
                  </from>
                  <to>
                    <xdr:col>8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9" r:id="rId1244" name="Check Box 1243">
              <controlPr defaultSize="0" autoFill="0" autoLine="0" autoPict="0">
                <anchor moveWithCells="1">
                  <from>
                    <xdr:col>9</xdr:col>
                    <xdr:colOff>47625</xdr:colOff>
                    <xdr:row>59</xdr:row>
                    <xdr:rowOff>38100</xdr:rowOff>
                  </from>
                  <to>
                    <xdr:col>9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0" r:id="rId1245" name="Check Box 1244">
              <controlPr defaultSize="0" autoFill="0" autoLine="0" autoPict="0">
                <anchor moveWithCells="1">
                  <from>
                    <xdr:col>10</xdr:col>
                    <xdr:colOff>47625</xdr:colOff>
                    <xdr:row>59</xdr:row>
                    <xdr:rowOff>38100</xdr:rowOff>
                  </from>
                  <to>
                    <xdr:col>10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1" r:id="rId1246" name="Check Box 1245">
              <controlPr defaultSize="0" autoFill="0" autoLine="0" autoPict="0">
                <anchor moveWithCells="1">
                  <from>
                    <xdr:col>11</xdr:col>
                    <xdr:colOff>47625</xdr:colOff>
                    <xdr:row>59</xdr:row>
                    <xdr:rowOff>38100</xdr:rowOff>
                  </from>
                  <to>
                    <xdr:col>11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2" r:id="rId1247" name="Check Box 1246">
              <controlPr defaultSize="0" autoFill="0" autoLine="0" autoPict="0">
                <anchor moveWithCells="1">
                  <from>
                    <xdr:col>12</xdr:col>
                    <xdr:colOff>47625</xdr:colOff>
                    <xdr:row>59</xdr:row>
                    <xdr:rowOff>38100</xdr:rowOff>
                  </from>
                  <to>
                    <xdr:col>12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3" r:id="rId1248" name="Check Box 1247">
              <controlPr defaultSize="0" autoFill="0" autoLine="0" autoPict="0">
                <anchor moveWithCells="1">
                  <from>
                    <xdr:col>13</xdr:col>
                    <xdr:colOff>47625</xdr:colOff>
                    <xdr:row>59</xdr:row>
                    <xdr:rowOff>38100</xdr:rowOff>
                  </from>
                  <to>
                    <xdr:col>13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4" r:id="rId1249" name="Check Box 1248">
              <controlPr defaultSize="0" autoFill="0" autoLine="0" autoPict="0">
                <anchor moveWithCells="1">
                  <from>
                    <xdr:col>14</xdr:col>
                    <xdr:colOff>47625</xdr:colOff>
                    <xdr:row>59</xdr:row>
                    <xdr:rowOff>38100</xdr:rowOff>
                  </from>
                  <to>
                    <xdr:col>14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5" r:id="rId1250" name="Check Box 1249">
              <controlPr defaultSize="0" autoFill="0" autoLine="0" autoPict="0">
                <anchor moveWithCells="1">
                  <from>
                    <xdr:col>15</xdr:col>
                    <xdr:colOff>47625</xdr:colOff>
                    <xdr:row>59</xdr:row>
                    <xdr:rowOff>38100</xdr:rowOff>
                  </from>
                  <to>
                    <xdr:col>15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6" r:id="rId1251" name="Check Box 1250">
              <controlPr defaultSize="0" autoFill="0" autoLine="0" autoPict="0">
                <anchor moveWithCells="1">
                  <from>
                    <xdr:col>16</xdr:col>
                    <xdr:colOff>47625</xdr:colOff>
                    <xdr:row>59</xdr:row>
                    <xdr:rowOff>38100</xdr:rowOff>
                  </from>
                  <to>
                    <xdr:col>16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7" r:id="rId1252" name="Check Box 1251">
              <controlPr defaultSize="0" autoFill="0" autoLine="0" autoPict="0">
                <anchor moveWithCells="1">
                  <from>
                    <xdr:col>17</xdr:col>
                    <xdr:colOff>47625</xdr:colOff>
                    <xdr:row>59</xdr:row>
                    <xdr:rowOff>38100</xdr:rowOff>
                  </from>
                  <to>
                    <xdr:col>17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8" r:id="rId1253" name="Check Box 1252">
              <controlPr defaultSize="0" autoFill="0" autoLine="0" autoPict="0">
                <anchor moveWithCells="1">
                  <from>
                    <xdr:col>18</xdr:col>
                    <xdr:colOff>47625</xdr:colOff>
                    <xdr:row>59</xdr:row>
                    <xdr:rowOff>38100</xdr:rowOff>
                  </from>
                  <to>
                    <xdr:col>18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9" r:id="rId1254" name="Check Box 1253">
              <controlPr defaultSize="0" autoFill="0" autoLine="0" autoPict="0">
                <anchor moveWithCells="1">
                  <from>
                    <xdr:col>19</xdr:col>
                    <xdr:colOff>47625</xdr:colOff>
                    <xdr:row>59</xdr:row>
                    <xdr:rowOff>38100</xdr:rowOff>
                  </from>
                  <to>
                    <xdr:col>19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0" r:id="rId1255" name="Check Box 1254">
              <controlPr defaultSize="0" autoFill="0" autoLine="0" autoPict="0">
                <anchor moveWithCells="1">
                  <from>
                    <xdr:col>20</xdr:col>
                    <xdr:colOff>47625</xdr:colOff>
                    <xdr:row>59</xdr:row>
                    <xdr:rowOff>38100</xdr:rowOff>
                  </from>
                  <to>
                    <xdr:col>20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1" r:id="rId1256" name="Check Box 1255">
              <controlPr defaultSize="0" autoFill="0" autoLine="0" autoPict="0">
                <anchor moveWithCells="1">
                  <from>
                    <xdr:col>21</xdr:col>
                    <xdr:colOff>47625</xdr:colOff>
                    <xdr:row>59</xdr:row>
                    <xdr:rowOff>38100</xdr:rowOff>
                  </from>
                  <to>
                    <xdr:col>21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2" r:id="rId1257" name="Check Box 1256">
              <controlPr defaultSize="0" autoFill="0" autoLine="0" autoPict="0">
                <anchor moveWithCells="1">
                  <from>
                    <xdr:col>22</xdr:col>
                    <xdr:colOff>47625</xdr:colOff>
                    <xdr:row>59</xdr:row>
                    <xdr:rowOff>38100</xdr:rowOff>
                  </from>
                  <to>
                    <xdr:col>22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3" r:id="rId1258" name="Check Box 1257">
              <controlPr defaultSize="0" autoFill="0" autoLine="0" autoPict="0">
                <anchor moveWithCells="1">
                  <from>
                    <xdr:col>23</xdr:col>
                    <xdr:colOff>47625</xdr:colOff>
                    <xdr:row>59</xdr:row>
                    <xdr:rowOff>38100</xdr:rowOff>
                  </from>
                  <to>
                    <xdr:col>23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4" r:id="rId1259" name="Check Box 1258">
              <controlPr defaultSize="0" autoFill="0" autoLine="0" autoPict="0">
                <anchor moveWithCells="1">
                  <from>
                    <xdr:col>24</xdr:col>
                    <xdr:colOff>47625</xdr:colOff>
                    <xdr:row>59</xdr:row>
                    <xdr:rowOff>38100</xdr:rowOff>
                  </from>
                  <to>
                    <xdr:col>24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5" r:id="rId1260" name="Check Box 1259">
              <controlPr defaultSize="0" autoFill="0" autoLine="0" autoPict="0">
                <anchor moveWithCells="1">
                  <from>
                    <xdr:col>25</xdr:col>
                    <xdr:colOff>47625</xdr:colOff>
                    <xdr:row>59</xdr:row>
                    <xdr:rowOff>38100</xdr:rowOff>
                  </from>
                  <to>
                    <xdr:col>25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6" r:id="rId1261" name="Check Box 1260">
              <controlPr defaultSize="0" autoFill="0" autoLine="0" autoPict="0">
                <anchor moveWithCells="1">
                  <from>
                    <xdr:col>26</xdr:col>
                    <xdr:colOff>47625</xdr:colOff>
                    <xdr:row>59</xdr:row>
                    <xdr:rowOff>38100</xdr:rowOff>
                  </from>
                  <to>
                    <xdr:col>26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7" r:id="rId1262" name="Check Box 1261">
              <controlPr defaultSize="0" autoFill="0" autoLine="0" autoPict="0">
                <anchor moveWithCells="1">
                  <from>
                    <xdr:col>27</xdr:col>
                    <xdr:colOff>47625</xdr:colOff>
                    <xdr:row>59</xdr:row>
                    <xdr:rowOff>38100</xdr:rowOff>
                  </from>
                  <to>
                    <xdr:col>27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8" r:id="rId1263" name="Check Box 1262">
              <controlPr defaultSize="0" autoFill="0" autoLine="0" autoPict="0">
                <anchor moveWithCells="1">
                  <from>
                    <xdr:col>28</xdr:col>
                    <xdr:colOff>47625</xdr:colOff>
                    <xdr:row>59</xdr:row>
                    <xdr:rowOff>38100</xdr:rowOff>
                  </from>
                  <to>
                    <xdr:col>28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9" r:id="rId1264" name="Check Box 1263">
              <controlPr defaultSize="0" autoFill="0" autoLine="0" autoPict="0">
                <anchor moveWithCells="1">
                  <from>
                    <xdr:col>29</xdr:col>
                    <xdr:colOff>47625</xdr:colOff>
                    <xdr:row>59</xdr:row>
                    <xdr:rowOff>38100</xdr:rowOff>
                  </from>
                  <to>
                    <xdr:col>29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0" r:id="rId1265" name="Check Box 1264">
              <controlPr defaultSize="0" autoFill="0" autoLine="0" autoPict="0">
                <anchor moveWithCells="1">
                  <from>
                    <xdr:col>30</xdr:col>
                    <xdr:colOff>47625</xdr:colOff>
                    <xdr:row>59</xdr:row>
                    <xdr:rowOff>38100</xdr:rowOff>
                  </from>
                  <to>
                    <xdr:col>30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1" r:id="rId1266" name="Check Box 1265">
              <controlPr defaultSize="0" autoFill="0" autoLine="0" autoPict="0">
                <anchor moveWithCells="1">
                  <from>
                    <xdr:col>31</xdr:col>
                    <xdr:colOff>47625</xdr:colOff>
                    <xdr:row>59</xdr:row>
                    <xdr:rowOff>38100</xdr:rowOff>
                  </from>
                  <to>
                    <xdr:col>31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2" r:id="rId1267" name="Check Box 1266">
              <controlPr defaultSize="0" autoFill="0" autoLine="0" autoPict="0">
                <anchor moveWithCells="1">
                  <from>
                    <xdr:col>32</xdr:col>
                    <xdr:colOff>47625</xdr:colOff>
                    <xdr:row>59</xdr:row>
                    <xdr:rowOff>38100</xdr:rowOff>
                  </from>
                  <to>
                    <xdr:col>32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3" r:id="rId1268" name="Check Box 1267">
              <controlPr defaultSize="0" autoFill="0" autoLine="0" autoPict="0">
                <anchor moveWithCells="1">
                  <from>
                    <xdr:col>33</xdr:col>
                    <xdr:colOff>47625</xdr:colOff>
                    <xdr:row>59</xdr:row>
                    <xdr:rowOff>38100</xdr:rowOff>
                  </from>
                  <to>
                    <xdr:col>33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4" r:id="rId1269" name="Check Box 1268">
              <controlPr defaultSize="0" autoFill="0" autoLine="0" autoPict="0">
                <anchor moveWithCells="1">
                  <from>
                    <xdr:col>34</xdr:col>
                    <xdr:colOff>47625</xdr:colOff>
                    <xdr:row>59</xdr:row>
                    <xdr:rowOff>38100</xdr:rowOff>
                  </from>
                  <to>
                    <xdr:col>34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5" r:id="rId1270" name="Check Box 1269">
              <controlPr defaultSize="0" autoFill="0" autoLine="0" autoPict="0">
                <anchor moveWithCells="1">
                  <from>
                    <xdr:col>35</xdr:col>
                    <xdr:colOff>47625</xdr:colOff>
                    <xdr:row>59</xdr:row>
                    <xdr:rowOff>38100</xdr:rowOff>
                  </from>
                  <to>
                    <xdr:col>35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6" r:id="rId1271" name="Check Box 1270">
              <controlPr defaultSize="0" autoFill="0" autoLine="0" autoPict="0">
                <anchor moveWithCells="1">
                  <from>
                    <xdr:col>36</xdr:col>
                    <xdr:colOff>47625</xdr:colOff>
                    <xdr:row>59</xdr:row>
                    <xdr:rowOff>38100</xdr:rowOff>
                  </from>
                  <to>
                    <xdr:col>36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7" r:id="rId1272" name="Check Box 1271">
              <controlPr defaultSize="0" autoFill="0" autoLine="0" autoPict="0">
                <anchor moveWithCells="1">
                  <from>
                    <xdr:col>37</xdr:col>
                    <xdr:colOff>47625</xdr:colOff>
                    <xdr:row>59</xdr:row>
                    <xdr:rowOff>38100</xdr:rowOff>
                  </from>
                  <to>
                    <xdr:col>37</xdr:col>
                    <xdr:colOff>342900</xdr:colOff>
                    <xdr:row>59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8" r:id="rId1273" name="Check Box 1272">
              <controlPr defaultSize="0" autoFill="0" autoLine="0" autoPict="0">
                <anchor moveWithCells="1">
                  <from>
                    <xdr:col>7</xdr:col>
                    <xdr:colOff>47625</xdr:colOff>
                    <xdr:row>60</xdr:row>
                    <xdr:rowOff>38100</xdr:rowOff>
                  </from>
                  <to>
                    <xdr:col>7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9" r:id="rId1274" name="Check Box 1273">
              <controlPr defaultSize="0" autoFill="0" autoLine="0" autoPict="0">
                <anchor moveWithCells="1">
                  <from>
                    <xdr:col>8</xdr:col>
                    <xdr:colOff>47625</xdr:colOff>
                    <xdr:row>60</xdr:row>
                    <xdr:rowOff>38100</xdr:rowOff>
                  </from>
                  <to>
                    <xdr:col>8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0" r:id="rId1275" name="Check Box 1274">
              <controlPr defaultSize="0" autoFill="0" autoLine="0" autoPict="0">
                <anchor moveWithCells="1">
                  <from>
                    <xdr:col>9</xdr:col>
                    <xdr:colOff>47625</xdr:colOff>
                    <xdr:row>60</xdr:row>
                    <xdr:rowOff>38100</xdr:rowOff>
                  </from>
                  <to>
                    <xdr:col>9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1" r:id="rId1276" name="Check Box 1275">
              <controlPr defaultSize="0" autoFill="0" autoLine="0" autoPict="0">
                <anchor moveWithCells="1">
                  <from>
                    <xdr:col>10</xdr:col>
                    <xdr:colOff>47625</xdr:colOff>
                    <xdr:row>60</xdr:row>
                    <xdr:rowOff>38100</xdr:rowOff>
                  </from>
                  <to>
                    <xdr:col>10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2" r:id="rId1277" name="Check Box 1276">
              <controlPr defaultSize="0" autoFill="0" autoLine="0" autoPict="0">
                <anchor moveWithCells="1">
                  <from>
                    <xdr:col>11</xdr:col>
                    <xdr:colOff>47625</xdr:colOff>
                    <xdr:row>60</xdr:row>
                    <xdr:rowOff>38100</xdr:rowOff>
                  </from>
                  <to>
                    <xdr:col>11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3" r:id="rId1278" name="Check Box 1277">
              <controlPr defaultSize="0" autoFill="0" autoLine="0" autoPict="0">
                <anchor moveWithCells="1">
                  <from>
                    <xdr:col>12</xdr:col>
                    <xdr:colOff>47625</xdr:colOff>
                    <xdr:row>60</xdr:row>
                    <xdr:rowOff>38100</xdr:rowOff>
                  </from>
                  <to>
                    <xdr:col>12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4" r:id="rId1279" name="Check Box 1278">
              <controlPr defaultSize="0" autoFill="0" autoLine="0" autoPict="0">
                <anchor moveWithCells="1">
                  <from>
                    <xdr:col>13</xdr:col>
                    <xdr:colOff>47625</xdr:colOff>
                    <xdr:row>60</xdr:row>
                    <xdr:rowOff>38100</xdr:rowOff>
                  </from>
                  <to>
                    <xdr:col>13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5" r:id="rId1280" name="Check Box 1279">
              <controlPr defaultSize="0" autoFill="0" autoLine="0" autoPict="0">
                <anchor moveWithCells="1">
                  <from>
                    <xdr:col>14</xdr:col>
                    <xdr:colOff>47625</xdr:colOff>
                    <xdr:row>60</xdr:row>
                    <xdr:rowOff>38100</xdr:rowOff>
                  </from>
                  <to>
                    <xdr:col>14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6" r:id="rId1281" name="Check Box 1280">
              <controlPr defaultSize="0" autoFill="0" autoLine="0" autoPict="0">
                <anchor moveWithCells="1">
                  <from>
                    <xdr:col>15</xdr:col>
                    <xdr:colOff>47625</xdr:colOff>
                    <xdr:row>60</xdr:row>
                    <xdr:rowOff>38100</xdr:rowOff>
                  </from>
                  <to>
                    <xdr:col>15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7" r:id="rId1282" name="Check Box 1281">
              <controlPr defaultSize="0" autoFill="0" autoLine="0" autoPict="0">
                <anchor moveWithCells="1">
                  <from>
                    <xdr:col>16</xdr:col>
                    <xdr:colOff>47625</xdr:colOff>
                    <xdr:row>60</xdr:row>
                    <xdr:rowOff>38100</xdr:rowOff>
                  </from>
                  <to>
                    <xdr:col>16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8" r:id="rId1283" name="Check Box 1282">
              <controlPr defaultSize="0" autoFill="0" autoLine="0" autoPict="0">
                <anchor moveWithCells="1">
                  <from>
                    <xdr:col>17</xdr:col>
                    <xdr:colOff>47625</xdr:colOff>
                    <xdr:row>60</xdr:row>
                    <xdr:rowOff>38100</xdr:rowOff>
                  </from>
                  <to>
                    <xdr:col>17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9" r:id="rId1284" name="Check Box 1283">
              <controlPr defaultSize="0" autoFill="0" autoLine="0" autoPict="0">
                <anchor moveWithCells="1">
                  <from>
                    <xdr:col>18</xdr:col>
                    <xdr:colOff>47625</xdr:colOff>
                    <xdr:row>60</xdr:row>
                    <xdr:rowOff>38100</xdr:rowOff>
                  </from>
                  <to>
                    <xdr:col>18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0" r:id="rId1285" name="Check Box 1284">
              <controlPr defaultSize="0" autoFill="0" autoLine="0" autoPict="0">
                <anchor moveWithCells="1">
                  <from>
                    <xdr:col>19</xdr:col>
                    <xdr:colOff>47625</xdr:colOff>
                    <xdr:row>60</xdr:row>
                    <xdr:rowOff>38100</xdr:rowOff>
                  </from>
                  <to>
                    <xdr:col>19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1" r:id="rId1286" name="Check Box 1285">
              <controlPr defaultSize="0" autoFill="0" autoLine="0" autoPict="0">
                <anchor moveWithCells="1">
                  <from>
                    <xdr:col>20</xdr:col>
                    <xdr:colOff>47625</xdr:colOff>
                    <xdr:row>60</xdr:row>
                    <xdr:rowOff>38100</xdr:rowOff>
                  </from>
                  <to>
                    <xdr:col>20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2" r:id="rId1287" name="Check Box 1286">
              <controlPr defaultSize="0" autoFill="0" autoLine="0" autoPict="0">
                <anchor moveWithCells="1">
                  <from>
                    <xdr:col>21</xdr:col>
                    <xdr:colOff>47625</xdr:colOff>
                    <xdr:row>60</xdr:row>
                    <xdr:rowOff>38100</xdr:rowOff>
                  </from>
                  <to>
                    <xdr:col>21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3" r:id="rId1288" name="Check Box 1287">
              <controlPr defaultSize="0" autoFill="0" autoLine="0" autoPict="0">
                <anchor moveWithCells="1">
                  <from>
                    <xdr:col>22</xdr:col>
                    <xdr:colOff>47625</xdr:colOff>
                    <xdr:row>60</xdr:row>
                    <xdr:rowOff>38100</xdr:rowOff>
                  </from>
                  <to>
                    <xdr:col>22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4" r:id="rId1289" name="Check Box 1288">
              <controlPr defaultSize="0" autoFill="0" autoLine="0" autoPict="0">
                <anchor moveWithCells="1">
                  <from>
                    <xdr:col>23</xdr:col>
                    <xdr:colOff>47625</xdr:colOff>
                    <xdr:row>60</xdr:row>
                    <xdr:rowOff>38100</xdr:rowOff>
                  </from>
                  <to>
                    <xdr:col>23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5" r:id="rId1290" name="Check Box 1289">
              <controlPr defaultSize="0" autoFill="0" autoLine="0" autoPict="0">
                <anchor moveWithCells="1">
                  <from>
                    <xdr:col>24</xdr:col>
                    <xdr:colOff>47625</xdr:colOff>
                    <xdr:row>60</xdr:row>
                    <xdr:rowOff>38100</xdr:rowOff>
                  </from>
                  <to>
                    <xdr:col>24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6" r:id="rId1291" name="Check Box 1290">
              <controlPr defaultSize="0" autoFill="0" autoLine="0" autoPict="0">
                <anchor moveWithCells="1">
                  <from>
                    <xdr:col>25</xdr:col>
                    <xdr:colOff>47625</xdr:colOff>
                    <xdr:row>60</xdr:row>
                    <xdr:rowOff>38100</xdr:rowOff>
                  </from>
                  <to>
                    <xdr:col>25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7" r:id="rId1292" name="Check Box 1291">
              <controlPr defaultSize="0" autoFill="0" autoLine="0" autoPict="0">
                <anchor moveWithCells="1">
                  <from>
                    <xdr:col>26</xdr:col>
                    <xdr:colOff>47625</xdr:colOff>
                    <xdr:row>60</xdr:row>
                    <xdr:rowOff>38100</xdr:rowOff>
                  </from>
                  <to>
                    <xdr:col>26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8" r:id="rId1293" name="Check Box 1292">
              <controlPr defaultSize="0" autoFill="0" autoLine="0" autoPict="0">
                <anchor moveWithCells="1">
                  <from>
                    <xdr:col>27</xdr:col>
                    <xdr:colOff>47625</xdr:colOff>
                    <xdr:row>60</xdr:row>
                    <xdr:rowOff>38100</xdr:rowOff>
                  </from>
                  <to>
                    <xdr:col>27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9" r:id="rId1294" name="Check Box 1293">
              <controlPr defaultSize="0" autoFill="0" autoLine="0" autoPict="0">
                <anchor moveWithCells="1">
                  <from>
                    <xdr:col>28</xdr:col>
                    <xdr:colOff>47625</xdr:colOff>
                    <xdr:row>60</xdr:row>
                    <xdr:rowOff>38100</xdr:rowOff>
                  </from>
                  <to>
                    <xdr:col>28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0" r:id="rId1295" name="Check Box 1294">
              <controlPr defaultSize="0" autoFill="0" autoLine="0" autoPict="0">
                <anchor moveWithCells="1">
                  <from>
                    <xdr:col>29</xdr:col>
                    <xdr:colOff>47625</xdr:colOff>
                    <xdr:row>60</xdr:row>
                    <xdr:rowOff>38100</xdr:rowOff>
                  </from>
                  <to>
                    <xdr:col>29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1" r:id="rId1296" name="Check Box 1295">
              <controlPr defaultSize="0" autoFill="0" autoLine="0" autoPict="0">
                <anchor moveWithCells="1">
                  <from>
                    <xdr:col>30</xdr:col>
                    <xdr:colOff>47625</xdr:colOff>
                    <xdr:row>60</xdr:row>
                    <xdr:rowOff>38100</xdr:rowOff>
                  </from>
                  <to>
                    <xdr:col>30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2" r:id="rId1297" name="Check Box 1296">
              <controlPr defaultSize="0" autoFill="0" autoLine="0" autoPict="0">
                <anchor moveWithCells="1">
                  <from>
                    <xdr:col>31</xdr:col>
                    <xdr:colOff>47625</xdr:colOff>
                    <xdr:row>60</xdr:row>
                    <xdr:rowOff>38100</xdr:rowOff>
                  </from>
                  <to>
                    <xdr:col>31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3" r:id="rId1298" name="Check Box 1297">
              <controlPr defaultSize="0" autoFill="0" autoLine="0" autoPict="0">
                <anchor moveWithCells="1">
                  <from>
                    <xdr:col>32</xdr:col>
                    <xdr:colOff>47625</xdr:colOff>
                    <xdr:row>60</xdr:row>
                    <xdr:rowOff>38100</xdr:rowOff>
                  </from>
                  <to>
                    <xdr:col>32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4" r:id="rId1299" name="Check Box 1298">
              <controlPr defaultSize="0" autoFill="0" autoLine="0" autoPict="0">
                <anchor moveWithCells="1">
                  <from>
                    <xdr:col>33</xdr:col>
                    <xdr:colOff>47625</xdr:colOff>
                    <xdr:row>60</xdr:row>
                    <xdr:rowOff>38100</xdr:rowOff>
                  </from>
                  <to>
                    <xdr:col>33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5" r:id="rId1300" name="Check Box 1299">
              <controlPr defaultSize="0" autoFill="0" autoLine="0" autoPict="0">
                <anchor moveWithCells="1">
                  <from>
                    <xdr:col>34</xdr:col>
                    <xdr:colOff>47625</xdr:colOff>
                    <xdr:row>60</xdr:row>
                    <xdr:rowOff>38100</xdr:rowOff>
                  </from>
                  <to>
                    <xdr:col>34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6" r:id="rId1301" name="Check Box 1300">
              <controlPr defaultSize="0" autoFill="0" autoLine="0" autoPict="0">
                <anchor moveWithCells="1">
                  <from>
                    <xdr:col>35</xdr:col>
                    <xdr:colOff>47625</xdr:colOff>
                    <xdr:row>60</xdr:row>
                    <xdr:rowOff>38100</xdr:rowOff>
                  </from>
                  <to>
                    <xdr:col>35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7" r:id="rId1302" name="Check Box 1301">
              <controlPr defaultSize="0" autoFill="0" autoLine="0" autoPict="0">
                <anchor moveWithCells="1">
                  <from>
                    <xdr:col>36</xdr:col>
                    <xdr:colOff>47625</xdr:colOff>
                    <xdr:row>60</xdr:row>
                    <xdr:rowOff>38100</xdr:rowOff>
                  </from>
                  <to>
                    <xdr:col>36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8" r:id="rId1303" name="Check Box 1302">
              <controlPr defaultSize="0" autoFill="0" autoLine="0" autoPict="0">
                <anchor moveWithCells="1">
                  <from>
                    <xdr:col>37</xdr:col>
                    <xdr:colOff>47625</xdr:colOff>
                    <xdr:row>60</xdr:row>
                    <xdr:rowOff>38100</xdr:rowOff>
                  </from>
                  <to>
                    <xdr:col>37</xdr:col>
                    <xdr:colOff>342900</xdr:colOff>
                    <xdr:row>60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9" r:id="rId1304" name="Check Box 1303">
              <controlPr defaultSize="0" autoFill="0" autoLine="0" autoPict="0">
                <anchor moveWithCells="1">
                  <from>
                    <xdr:col>7</xdr:col>
                    <xdr:colOff>47625</xdr:colOff>
                    <xdr:row>61</xdr:row>
                    <xdr:rowOff>38100</xdr:rowOff>
                  </from>
                  <to>
                    <xdr:col>7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0" r:id="rId1305" name="Check Box 1304">
              <controlPr defaultSize="0" autoFill="0" autoLine="0" autoPict="0">
                <anchor moveWithCells="1">
                  <from>
                    <xdr:col>8</xdr:col>
                    <xdr:colOff>47625</xdr:colOff>
                    <xdr:row>61</xdr:row>
                    <xdr:rowOff>38100</xdr:rowOff>
                  </from>
                  <to>
                    <xdr:col>8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1" r:id="rId1306" name="Check Box 1305">
              <controlPr defaultSize="0" autoFill="0" autoLine="0" autoPict="0">
                <anchor moveWithCells="1">
                  <from>
                    <xdr:col>9</xdr:col>
                    <xdr:colOff>47625</xdr:colOff>
                    <xdr:row>61</xdr:row>
                    <xdr:rowOff>38100</xdr:rowOff>
                  </from>
                  <to>
                    <xdr:col>9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2" r:id="rId1307" name="Check Box 1306">
              <controlPr defaultSize="0" autoFill="0" autoLine="0" autoPict="0">
                <anchor moveWithCells="1">
                  <from>
                    <xdr:col>10</xdr:col>
                    <xdr:colOff>47625</xdr:colOff>
                    <xdr:row>61</xdr:row>
                    <xdr:rowOff>38100</xdr:rowOff>
                  </from>
                  <to>
                    <xdr:col>10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3" r:id="rId1308" name="Check Box 1307">
              <controlPr defaultSize="0" autoFill="0" autoLine="0" autoPict="0">
                <anchor moveWithCells="1">
                  <from>
                    <xdr:col>11</xdr:col>
                    <xdr:colOff>47625</xdr:colOff>
                    <xdr:row>61</xdr:row>
                    <xdr:rowOff>38100</xdr:rowOff>
                  </from>
                  <to>
                    <xdr:col>11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4" r:id="rId1309" name="Check Box 1308">
              <controlPr defaultSize="0" autoFill="0" autoLine="0" autoPict="0">
                <anchor moveWithCells="1">
                  <from>
                    <xdr:col>12</xdr:col>
                    <xdr:colOff>47625</xdr:colOff>
                    <xdr:row>61</xdr:row>
                    <xdr:rowOff>38100</xdr:rowOff>
                  </from>
                  <to>
                    <xdr:col>12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5" r:id="rId1310" name="Check Box 1309">
              <controlPr defaultSize="0" autoFill="0" autoLine="0" autoPict="0">
                <anchor moveWithCells="1">
                  <from>
                    <xdr:col>13</xdr:col>
                    <xdr:colOff>47625</xdr:colOff>
                    <xdr:row>61</xdr:row>
                    <xdr:rowOff>38100</xdr:rowOff>
                  </from>
                  <to>
                    <xdr:col>13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6" r:id="rId1311" name="Check Box 1310">
              <controlPr defaultSize="0" autoFill="0" autoLine="0" autoPict="0">
                <anchor moveWithCells="1">
                  <from>
                    <xdr:col>14</xdr:col>
                    <xdr:colOff>47625</xdr:colOff>
                    <xdr:row>61</xdr:row>
                    <xdr:rowOff>38100</xdr:rowOff>
                  </from>
                  <to>
                    <xdr:col>14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7" r:id="rId1312" name="Check Box 1311">
              <controlPr defaultSize="0" autoFill="0" autoLine="0" autoPict="0">
                <anchor moveWithCells="1">
                  <from>
                    <xdr:col>15</xdr:col>
                    <xdr:colOff>47625</xdr:colOff>
                    <xdr:row>61</xdr:row>
                    <xdr:rowOff>38100</xdr:rowOff>
                  </from>
                  <to>
                    <xdr:col>15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8" r:id="rId1313" name="Check Box 1312">
              <controlPr defaultSize="0" autoFill="0" autoLine="0" autoPict="0">
                <anchor moveWithCells="1">
                  <from>
                    <xdr:col>16</xdr:col>
                    <xdr:colOff>47625</xdr:colOff>
                    <xdr:row>61</xdr:row>
                    <xdr:rowOff>38100</xdr:rowOff>
                  </from>
                  <to>
                    <xdr:col>16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9" r:id="rId1314" name="Check Box 1313">
              <controlPr defaultSize="0" autoFill="0" autoLine="0" autoPict="0">
                <anchor moveWithCells="1">
                  <from>
                    <xdr:col>17</xdr:col>
                    <xdr:colOff>47625</xdr:colOff>
                    <xdr:row>61</xdr:row>
                    <xdr:rowOff>38100</xdr:rowOff>
                  </from>
                  <to>
                    <xdr:col>17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0" r:id="rId1315" name="Check Box 1314">
              <controlPr defaultSize="0" autoFill="0" autoLine="0" autoPict="0">
                <anchor moveWithCells="1">
                  <from>
                    <xdr:col>18</xdr:col>
                    <xdr:colOff>47625</xdr:colOff>
                    <xdr:row>61</xdr:row>
                    <xdr:rowOff>38100</xdr:rowOff>
                  </from>
                  <to>
                    <xdr:col>18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1" r:id="rId1316" name="Check Box 1315">
              <controlPr defaultSize="0" autoFill="0" autoLine="0" autoPict="0">
                <anchor moveWithCells="1">
                  <from>
                    <xdr:col>19</xdr:col>
                    <xdr:colOff>47625</xdr:colOff>
                    <xdr:row>61</xdr:row>
                    <xdr:rowOff>38100</xdr:rowOff>
                  </from>
                  <to>
                    <xdr:col>19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2" r:id="rId1317" name="Check Box 1316">
              <controlPr defaultSize="0" autoFill="0" autoLine="0" autoPict="0">
                <anchor moveWithCells="1">
                  <from>
                    <xdr:col>20</xdr:col>
                    <xdr:colOff>47625</xdr:colOff>
                    <xdr:row>61</xdr:row>
                    <xdr:rowOff>38100</xdr:rowOff>
                  </from>
                  <to>
                    <xdr:col>20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3" r:id="rId1318" name="Check Box 1317">
              <controlPr defaultSize="0" autoFill="0" autoLine="0" autoPict="0">
                <anchor moveWithCells="1">
                  <from>
                    <xdr:col>21</xdr:col>
                    <xdr:colOff>47625</xdr:colOff>
                    <xdr:row>61</xdr:row>
                    <xdr:rowOff>38100</xdr:rowOff>
                  </from>
                  <to>
                    <xdr:col>21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4" r:id="rId1319" name="Check Box 1318">
              <controlPr defaultSize="0" autoFill="0" autoLine="0" autoPict="0">
                <anchor moveWithCells="1">
                  <from>
                    <xdr:col>22</xdr:col>
                    <xdr:colOff>47625</xdr:colOff>
                    <xdr:row>61</xdr:row>
                    <xdr:rowOff>38100</xdr:rowOff>
                  </from>
                  <to>
                    <xdr:col>22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5" r:id="rId1320" name="Check Box 1319">
              <controlPr defaultSize="0" autoFill="0" autoLine="0" autoPict="0">
                <anchor moveWithCells="1">
                  <from>
                    <xdr:col>23</xdr:col>
                    <xdr:colOff>47625</xdr:colOff>
                    <xdr:row>61</xdr:row>
                    <xdr:rowOff>38100</xdr:rowOff>
                  </from>
                  <to>
                    <xdr:col>23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6" r:id="rId1321" name="Check Box 1320">
              <controlPr defaultSize="0" autoFill="0" autoLine="0" autoPict="0">
                <anchor moveWithCells="1">
                  <from>
                    <xdr:col>24</xdr:col>
                    <xdr:colOff>47625</xdr:colOff>
                    <xdr:row>61</xdr:row>
                    <xdr:rowOff>38100</xdr:rowOff>
                  </from>
                  <to>
                    <xdr:col>24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7" r:id="rId1322" name="Check Box 1321">
              <controlPr defaultSize="0" autoFill="0" autoLine="0" autoPict="0">
                <anchor moveWithCells="1">
                  <from>
                    <xdr:col>25</xdr:col>
                    <xdr:colOff>47625</xdr:colOff>
                    <xdr:row>61</xdr:row>
                    <xdr:rowOff>38100</xdr:rowOff>
                  </from>
                  <to>
                    <xdr:col>25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8" r:id="rId1323" name="Check Box 1322">
              <controlPr defaultSize="0" autoFill="0" autoLine="0" autoPict="0">
                <anchor moveWithCells="1">
                  <from>
                    <xdr:col>26</xdr:col>
                    <xdr:colOff>47625</xdr:colOff>
                    <xdr:row>61</xdr:row>
                    <xdr:rowOff>38100</xdr:rowOff>
                  </from>
                  <to>
                    <xdr:col>26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9" r:id="rId1324" name="Check Box 1323">
              <controlPr defaultSize="0" autoFill="0" autoLine="0" autoPict="0">
                <anchor moveWithCells="1">
                  <from>
                    <xdr:col>27</xdr:col>
                    <xdr:colOff>47625</xdr:colOff>
                    <xdr:row>61</xdr:row>
                    <xdr:rowOff>38100</xdr:rowOff>
                  </from>
                  <to>
                    <xdr:col>27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0" r:id="rId1325" name="Check Box 1324">
              <controlPr defaultSize="0" autoFill="0" autoLine="0" autoPict="0">
                <anchor moveWithCells="1">
                  <from>
                    <xdr:col>28</xdr:col>
                    <xdr:colOff>47625</xdr:colOff>
                    <xdr:row>61</xdr:row>
                    <xdr:rowOff>38100</xdr:rowOff>
                  </from>
                  <to>
                    <xdr:col>28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1" r:id="rId1326" name="Check Box 1325">
              <controlPr defaultSize="0" autoFill="0" autoLine="0" autoPict="0">
                <anchor moveWithCells="1">
                  <from>
                    <xdr:col>29</xdr:col>
                    <xdr:colOff>47625</xdr:colOff>
                    <xdr:row>61</xdr:row>
                    <xdr:rowOff>38100</xdr:rowOff>
                  </from>
                  <to>
                    <xdr:col>29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2" r:id="rId1327" name="Check Box 1326">
              <controlPr defaultSize="0" autoFill="0" autoLine="0" autoPict="0">
                <anchor moveWithCells="1">
                  <from>
                    <xdr:col>30</xdr:col>
                    <xdr:colOff>47625</xdr:colOff>
                    <xdr:row>61</xdr:row>
                    <xdr:rowOff>38100</xdr:rowOff>
                  </from>
                  <to>
                    <xdr:col>30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3" r:id="rId1328" name="Check Box 1327">
              <controlPr defaultSize="0" autoFill="0" autoLine="0" autoPict="0">
                <anchor moveWithCells="1">
                  <from>
                    <xdr:col>31</xdr:col>
                    <xdr:colOff>47625</xdr:colOff>
                    <xdr:row>61</xdr:row>
                    <xdr:rowOff>38100</xdr:rowOff>
                  </from>
                  <to>
                    <xdr:col>31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4" r:id="rId1329" name="Check Box 1328">
              <controlPr defaultSize="0" autoFill="0" autoLine="0" autoPict="0">
                <anchor moveWithCells="1">
                  <from>
                    <xdr:col>32</xdr:col>
                    <xdr:colOff>47625</xdr:colOff>
                    <xdr:row>61</xdr:row>
                    <xdr:rowOff>38100</xdr:rowOff>
                  </from>
                  <to>
                    <xdr:col>32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5" r:id="rId1330" name="Check Box 1329">
              <controlPr defaultSize="0" autoFill="0" autoLine="0" autoPict="0">
                <anchor moveWithCells="1">
                  <from>
                    <xdr:col>33</xdr:col>
                    <xdr:colOff>47625</xdr:colOff>
                    <xdr:row>61</xdr:row>
                    <xdr:rowOff>38100</xdr:rowOff>
                  </from>
                  <to>
                    <xdr:col>33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6" r:id="rId1331" name="Check Box 1330">
              <controlPr defaultSize="0" autoFill="0" autoLine="0" autoPict="0">
                <anchor moveWithCells="1">
                  <from>
                    <xdr:col>34</xdr:col>
                    <xdr:colOff>47625</xdr:colOff>
                    <xdr:row>61</xdr:row>
                    <xdr:rowOff>38100</xdr:rowOff>
                  </from>
                  <to>
                    <xdr:col>34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7" r:id="rId1332" name="Check Box 1331">
              <controlPr defaultSize="0" autoFill="0" autoLine="0" autoPict="0">
                <anchor moveWithCells="1">
                  <from>
                    <xdr:col>35</xdr:col>
                    <xdr:colOff>47625</xdr:colOff>
                    <xdr:row>61</xdr:row>
                    <xdr:rowOff>38100</xdr:rowOff>
                  </from>
                  <to>
                    <xdr:col>35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8" r:id="rId1333" name="Check Box 1332">
              <controlPr defaultSize="0" autoFill="0" autoLine="0" autoPict="0">
                <anchor moveWithCells="1">
                  <from>
                    <xdr:col>36</xdr:col>
                    <xdr:colOff>47625</xdr:colOff>
                    <xdr:row>61</xdr:row>
                    <xdr:rowOff>38100</xdr:rowOff>
                  </from>
                  <to>
                    <xdr:col>36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9" r:id="rId1334" name="Check Box 1333">
              <controlPr defaultSize="0" autoFill="0" autoLine="0" autoPict="0">
                <anchor moveWithCells="1">
                  <from>
                    <xdr:col>37</xdr:col>
                    <xdr:colOff>47625</xdr:colOff>
                    <xdr:row>61</xdr:row>
                    <xdr:rowOff>38100</xdr:rowOff>
                  </from>
                  <to>
                    <xdr:col>37</xdr:col>
                    <xdr:colOff>342900</xdr:colOff>
                    <xdr:row>61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0" r:id="rId1335" name="Check Box 1334">
              <controlPr defaultSize="0" autoFill="0" autoLine="0" autoPict="0">
                <anchor moveWithCells="1">
                  <from>
                    <xdr:col>7</xdr:col>
                    <xdr:colOff>47625</xdr:colOff>
                    <xdr:row>62</xdr:row>
                    <xdr:rowOff>38100</xdr:rowOff>
                  </from>
                  <to>
                    <xdr:col>7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1" r:id="rId1336" name="Check Box 1335">
              <controlPr defaultSize="0" autoFill="0" autoLine="0" autoPict="0">
                <anchor moveWithCells="1">
                  <from>
                    <xdr:col>8</xdr:col>
                    <xdr:colOff>47625</xdr:colOff>
                    <xdr:row>62</xdr:row>
                    <xdr:rowOff>38100</xdr:rowOff>
                  </from>
                  <to>
                    <xdr:col>8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2" r:id="rId1337" name="Check Box 1336">
              <controlPr defaultSize="0" autoFill="0" autoLine="0" autoPict="0">
                <anchor moveWithCells="1">
                  <from>
                    <xdr:col>9</xdr:col>
                    <xdr:colOff>47625</xdr:colOff>
                    <xdr:row>62</xdr:row>
                    <xdr:rowOff>38100</xdr:rowOff>
                  </from>
                  <to>
                    <xdr:col>9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3" r:id="rId1338" name="Check Box 1337">
              <controlPr defaultSize="0" autoFill="0" autoLine="0" autoPict="0">
                <anchor moveWithCells="1">
                  <from>
                    <xdr:col>10</xdr:col>
                    <xdr:colOff>47625</xdr:colOff>
                    <xdr:row>62</xdr:row>
                    <xdr:rowOff>38100</xdr:rowOff>
                  </from>
                  <to>
                    <xdr:col>10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4" r:id="rId1339" name="Check Box 1338">
              <controlPr defaultSize="0" autoFill="0" autoLine="0" autoPict="0">
                <anchor moveWithCells="1">
                  <from>
                    <xdr:col>11</xdr:col>
                    <xdr:colOff>47625</xdr:colOff>
                    <xdr:row>62</xdr:row>
                    <xdr:rowOff>38100</xdr:rowOff>
                  </from>
                  <to>
                    <xdr:col>11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5" r:id="rId1340" name="Check Box 1339">
              <controlPr defaultSize="0" autoFill="0" autoLine="0" autoPict="0">
                <anchor moveWithCells="1">
                  <from>
                    <xdr:col>12</xdr:col>
                    <xdr:colOff>47625</xdr:colOff>
                    <xdr:row>62</xdr:row>
                    <xdr:rowOff>38100</xdr:rowOff>
                  </from>
                  <to>
                    <xdr:col>12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6" r:id="rId1341" name="Check Box 1340">
              <controlPr defaultSize="0" autoFill="0" autoLine="0" autoPict="0">
                <anchor moveWithCells="1">
                  <from>
                    <xdr:col>13</xdr:col>
                    <xdr:colOff>47625</xdr:colOff>
                    <xdr:row>62</xdr:row>
                    <xdr:rowOff>38100</xdr:rowOff>
                  </from>
                  <to>
                    <xdr:col>13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7" r:id="rId1342" name="Check Box 1341">
              <controlPr defaultSize="0" autoFill="0" autoLine="0" autoPict="0">
                <anchor moveWithCells="1">
                  <from>
                    <xdr:col>14</xdr:col>
                    <xdr:colOff>47625</xdr:colOff>
                    <xdr:row>62</xdr:row>
                    <xdr:rowOff>38100</xdr:rowOff>
                  </from>
                  <to>
                    <xdr:col>14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8" r:id="rId1343" name="Check Box 1342">
              <controlPr defaultSize="0" autoFill="0" autoLine="0" autoPict="0">
                <anchor moveWithCells="1">
                  <from>
                    <xdr:col>15</xdr:col>
                    <xdr:colOff>47625</xdr:colOff>
                    <xdr:row>62</xdr:row>
                    <xdr:rowOff>38100</xdr:rowOff>
                  </from>
                  <to>
                    <xdr:col>15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9" r:id="rId1344" name="Check Box 1343">
              <controlPr defaultSize="0" autoFill="0" autoLine="0" autoPict="0">
                <anchor moveWithCells="1">
                  <from>
                    <xdr:col>16</xdr:col>
                    <xdr:colOff>47625</xdr:colOff>
                    <xdr:row>62</xdr:row>
                    <xdr:rowOff>38100</xdr:rowOff>
                  </from>
                  <to>
                    <xdr:col>16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0" r:id="rId1345" name="Check Box 1344">
              <controlPr defaultSize="0" autoFill="0" autoLine="0" autoPict="0">
                <anchor moveWithCells="1">
                  <from>
                    <xdr:col>17</xdr:col>
                    <xdr:colOff>47625</xdr:colOff>
                    <xdr:row>62</xdr:row>
                    <xdr:rowOff>38100</xdr:rowOff>
                  </from>
                  <to>
                    <xdr:col>17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1" r:id="rId1346" name="Check Box 1345">
              <controlPr defaultSize="0" autoFill="0" autoLine="0" autoPict="0">
                <anchor moveWithCells="1">
                  <from>
                    <xdr:col>18</xdr:col>
                    <xdr:colOff>47625</xdr:colOff>
                    <xdr:row>62</xdr:row>
                    <xdr:rowOff>38100</xdr:rowOff>
                  </from>
                  <to>
                    <xdr:col>18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2" r:id="rId1347" name="Check Box 1346">
              <controlPr defaultSize="0" autoFill="0" autoLine="0" autoPict="0">
                <anchor moveWithCells="1">
                  <from>
                    <xdr:col>19</xdr:col>
                    <xdr:colOff>47625</xdr:colOff>
                    <xdr:row>62</xdr:row>
                    <xdr:rowOff>38100</xdr:rowOff>
                  </from>
                  <to>
                    <xdr:col>19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3" r:id="rId1348" name="Check Box 1347">
              <controlPr defaultSize="0" autoFill="0" autoLine="0" autoPict="0">
                <anchor moveWithCells="1">
                  <from>
                    <xdr:col>20</xdr:col>
                    <xdr:colOff>47625</xdr:colOff>
                    <xdr:row>62</xdr:row>
                    <xdr:rowOff>38100</xdr:rowOff>
                  </from>
                  <to>
                    <xdr:col>20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4" r:id="rId1349" name="Check Box 1348">
              <controlPr defaultSize="0" autoFill="0" autoLine="0" autoPict="0">
                <anchor moveWithCells="1">
                  <from>
                    <xdr:col>21</xdr:col>
                    <xdr:colOff>47625</xdr:colOff>
                    <xdr:row>62</xdr:row>
                    <xdr:rowOff>38100</xdr:rowOff>
                  </from>
                  <to>
                    <xdr:col>21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5" r:id="rId1350" name="Check Box 1349">
              <controlPr defaultSize="0" autoFill="0" autoLine="0" autoPict="0">
                <anchor moveWithCells="1">
                  <from>
                    <xdr:col>22</xdr:col>
                    <xdr:colOff>47625</xdr:colOff>
                    <xdr:row>62</xdr:row>
                    <xdr:rowOff>38100</xdr:rowOff>
                  </from>
                  <to>
                    <xdr:col>22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6" r:id="rId1351" name="Check Box 1350">
              <controlPr defaultSize="0" autoFill="0" autoLine="0" autoPict="0">
                <anchor moveWithCells="1">
                  <from>
                    <xdr:col>23</xdr:col>
                    <xdr:colOff>47625</xdr:colOff>
                    <xdr:row>62</xdr:row>
                    <xdr:rowOff>38100</xdr:rowOff>
                  </from>
                  <to>
                    <xdr:col>23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7" r:id="rId1352" name="Check Box 1351">
              <controlPr defaultSize="0" autoFill="0" autoLine="0" autoPict="0">
                <anchor moveWithCells="1">
                  <from>
                    <xdr:col>24</xdr:col>
                    <xdr:colOff>47625</xdr:colOff>
                    <xdr:row>62</xdr:row>
                    <xdr:rowOff>38100</xdr:rowOff>
                  </from>
                  <to>
                    <xdr:col>24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8" r:id="rId1353" name="Check Box 1352">
              <controlPr defaultSize="0" autoFill="0" autoLine="0" autoPict="0">
                <anchor moveWithCells="1">
                  <from>
                    <xdr:col>25</xdr:col>
                    <xdr:colOff>47625</xdr:colOff>
                    <xdr:row>62</xdr:row>
                    <xdr:rowOff>38100</xdr:rowOff>
                  </from>
                  <to>
                    <xdr:col>25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9" r:id="rId1354" name="Check Box 1353">
              <controlPr defaultSize="0" autoFill="0" autoLine="0" autoPict="0">
                <anchor moveWithCells="1">
                  <from>
                    <xdr:col>26</xdr:col>
                    <xdr:colOff>47625</xdr:colOff>
                    <xdr:row>62</xdr:row>
                    <xdr:rowOff>38100</xdr:rowOff>
                  </from>
                  <to>
                    <xdr:col>26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0" r:id="rId1355" name="Check Box 1354">
              <controlPr defaultSize="0" autoFill="0" autoLine="0" autoPict="0">
                <anchor moveWithCells="1">
                  <from>
                    <xdr:col>27</xdr:col>
                    <xdr:colOff>47625</xdr:colOff>
                    <xdr:row>62</xdr:row>
                    <xdr:rowOff>38100</xdr:rowOff>
                  </from>
                  <to>
                    <xdr:col>27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1" r:id="rId1356" name="Check Box 1355">
              <controlPr defaultSize="0" autoFill="0" autoLine="0" autoPict="0">
                <anchor moveWithCells="1">
                  <from>
                    <xdr:col>28</xdr:col>
                    <xdr:colOff>47625</xdr:colOff>
                    <xdr:row>62</xdr:row>
                    <xdr:rowOff>38100</xdr:rowOff>
                  </from>
                  <to>
                    <xdr:col>28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2" r:id="rId1357" name="Check Box 1356">
              <controlPr defaultSize="0" autoFill="0" autoLine="0" autoPict="0">
                <anchor moveWithCells="1">
                  <from>
                    <xdr:col>29</xdr:col>
                    <xdr:colOff>47625</xdr:colOff>
                    <xdr:row>62</xdr:row>
                    <xdr:rowOff>38100</xdr:rowOff>
                  </from>
                  <to>
                    <xdr:col>29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3" r:id="rId1358" name="Check Box 1357">
              <controlPr defaultSize="0" autoFill="0" autoLine="0" autoPict="0">
                <anchor moveWithCells="1">
                  <from>
                    <xdr:col>30</xdr:col>
                    <xdr:colOff>47625</xdr:colOff>
                    <xdr:row>62</xdr:row>
                    <xdr:rowOff>38100</xdr:rowOff>
                  </from>
                  <to>
                    <xdr:col>30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4" r:id="rId1359" name="Check Box 1358">
              <controlPr defaultSize="0" autoFill="0" autoLine="0" autoPict="0">
                <anchor moveWithCells="1">
                  <from>
                    <xdr:col>31</xdr:col>
                    <xdr:colOff>47625</xdr:colOff>
                    <xdr:row>62</xdr:row>
                    <xdr:rowOff>38100</xdr:rowOff>
                  </from>
                  <to>
                    <xdr:col>31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5" r:id="rId1360" name="Check Box 1359">
              <controlPr defaultSize="0" autoFill="0" autoLine="0" autoPict="0">
                <anchor moveWithCells="1">
                  <from>
                    <xdr:col>32</xdr:col>
                    <xdr:colOff>47625</xdr:colOff>
                    <xdr:row>62</xdr:row>
                    <xdr:rowOff>38100</xdr:rowOff>
                  </from>
                  <to>
                    <xdr:col>32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6" r:id="rId1361" name="Check Box 1360">
              <controlPr defaultSize="0" autoFill="0" autoLine="0" autoPict="0">
                <anchor moveWithCells="1">
                  <from>
                    <xdr:col>33</xdr:col>
                    <xdr:colOff>47625</xdr:colOff>
                    <xdr:row>62</xdr:row>
                    <xdr:rowOff>38100</xdr:rowOff>
                  </from>
                  <to>
                    <xdr:col>33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7" r:id="rId1362" name="Check Box 1361">
              <controlPr defaultSize="0" autoFill="0" autoLine="0" autoPict="0">
                <anchor moveWithCells="1">
                  <from>
                    <xdr:col>34</xdr:col>
                    <xdr:colOff>47625</xdr:colOff>
                    <xdr:row>62</xdr:row>
                    <xdr:rowOff>38100</xdr:rowOff>
                  </from>
                  <to>
                    <xdr:col>34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8" r:id="rId1363" name="Check Box 1362">
              <controlPr defaultSize="0" autoFill="0" autoLine="0" autoPict="0">
                <anchor moveWithCells="1">
                  <from>
                    <xdr:col>35</xdr:col>
                    <xdr:colOff>47625</xdr:colOff>
                    <xdr:row>62</xdr:row>
                    <xdr:rowOff>38100</xdr:rowOff>
                  </from>
                  <to>
                    <xdr:col>35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9" r:id="rId1364" name="Check Box 1363">
              <controlPr defaultSize="0" autoFill="0" autoLine="0" autoPict="0">
                <anchor moveWithCells="1">
                  <from>
                    <xdr:col>36</xdr:col>
                    <xdr:colOff>47625</xdr:colOff>
                    <xdr:row>62</xdr:row>
                    <xdr:rowOff>38100</xdr:rowOff>
                  </from>
                  <to>
                    <xdr:col>36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0" r:id="rId1365" name="Check Box 1364">
              <controlPr defaultSize="0" autoFill="0" autoLine="0" autoPict="0">
                <anchor moveWithCells="1">
                  <from>
                    <xdr:col>37</xdr:col>
                    <xdr:colOff>47625</xdr:colOff>
                    <xdr:row>62</xdr:row>
                    <xdr:rowOff>38100</xdr:rowOff>
                  </from>
                  <to>
                    <xdr:col>37</xdr:col>
                    <xdr:colOff>342900</xdr:colOff>
                    <xdr:row>62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1" r:id="rId1366" name="Check Box 1365">
              <controlPr defaultSize="0" autoFill="0" autoLine="0" autoPict="0">
                <anchor moveWithCells="1">
                  <from>
                    <xdr:col>7</xdr:col>
                    <xdr:colOff>47625</xdr:colOff>
                    <xdr:row>63</xdr:row>
                    <xdr:rowOff>38100</xdr:rowOff>
                  </from>
                  <to>
                    <xdr:col>7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2" r:id="rId1367" name="Check Box 1366">
              <controlPr defaultSize="0" autoFill="0" autoLine="0" autoPict="0">
                <anchor moveWithCells="1">
                  <from>
                    <xdr:col>8</xdr:col>
                    <xdr:colOff>47625</xdr:colOff>
                    <xdr:row>63</xdr:row>
                    <xdr:rowOff>38100</xdr:rowOff>
                  </from>
                  <to>
                    <xdr:col>8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3" r:id="rId1368" name="Check Box 1367">
              <controlPr defaultSize="0" autoFill="0" autoLine="0" autoPict="0">
                <anchor moveWithCells="1">
                  <from>
                    <xdr:col>9</xdr:col>
                    <xdr:colOff>47625</xdr:colOff>
                    <xdr:row>63</xdr:row>
                    <xdr:rowOff>38100</xdr:rowOff>
                  </from>
                  <to>
                    <xdr:col>9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4" r:id="rId1369" name="Check Box 1368">
              <controlPr defaultSize="0" autoFill="0" autoLine="0" autoPict="0">
                <anchor moveWithCells="1">
                  <from>
                    <xdr:col>10</xdr:col>
                    <xdr:colOff>47625</xdr:colOff>
                    <xdr:row>63</xdr:row>
                    <xdr:rowOff>38100</xdr:rowOff>
                  </from>
                  <to>
                    <xdr:col>10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5" r:id="rId1370" name="Check Box 1369">
              <controlPr defaultSize="0" autoFill="0" autoLine="0" autoPict="0">
                <anchor moveWithCells="1">
                  <from>
                    <xdr:col>11</xdr:col>
                    <xdr:colOff>47625</xdr:colOff>
                    <xdr:row>63</xdr:row>
                    <xdr:rowOff>38100</xdr:rowOff>
                  </from>
                  <to>
                    <xdr:col>11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6" r:id="rId1371" name="Check Box 1370">
              <controlPr defaultSize="0" autoFill="0" autoLine="0" autoPict="0">
                <anchor moveWithCells="1">
                  <from>
                    <xdr:col>12</xdr:col>
                    <xdr:colOff>47625</xdr:colOff>
                    <xdr:row>63</xdr:row>
                    <xdr:rowOff>38100</xdr:rowOff>
                  </from>
                  <to>
                    <xdr:col>12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7" r:id="rId1372" name="Check Box 1371">
              <controlPr defaultSize="0" autoFill="0" autoLine="0" autoPict="0">
                <anchor moveWithCells="1">
                  <from>
                    <xdr:col>13</xdr:col>
                    <xdr:colOff>47625</xdr:colOff>
                    <xdr:row>63</xdr:row>
                    <xdr:rowOff>38100</xdr:rowOff>
                  </from>
                  <to>
                    <xdr:col>13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8" r:id="rId1373" name="Check Box 1372">
              <controlPr defaultSize="0" autoFill="0" autoLine="0" autoPict="0">
                <anchor moveWithCells="1">
                  <from>
                    <xdr:col>14</xdr:col>
                    <xdr:colOff>47625</xdr:colOff>
                    <xdr:row>63</xdr:row>
                    <xdr:rowOff>38100</xdr:rowOff>
                  </from>
                  <to>
                    <xdr:col>14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9" r:id="rId1374" name="Check Box 1373">
              <controlPr defaultSize="0" autoFill="0" autoLine="0" autoPict="0">
                <anchor moveWithCells="1">
                  <from>
                    <xdr:col>15</xdr:col>
                    <xdr:colOff>47625</xdr:colOff>
                    <xdr:row>63</xdr:row>
                    <xdr:rowOff>38100</xdr:rowOff>
                  </from>
                  <to>
                    <xdr:col>15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0" r:id="rId1375" name="Check Box 1374">
              <controlPr defaultSize="0" autoFill="0" autoLine="0" autoPict="0">
                <anchor moveWithCells="1">
                  <from>
                    <xdr:col>16</xdr:col>
                    <xdr:colOff>47625</xdr:colOff>
                    <xdr:row>63</xdr:row>
                    <xdr:rowOff>38100</xdr:rowOff>
                  </from>
                  <to>
                    <xdr:col>16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1" r:id="rId1376" name="Check Box 1375">
              <controlPr defaultSize="0" autoFill="0" autoLine="0" autoPict="0">
                <anchor moveWithCells="1">
                  <from>
                    <xdr:col>17</xdr:col>
                    <xdr:colOff>47625</xdr:colOff>
                    <xdr:row>63</xdr:row>
                    <xdr:rowOff>38100</xdr:rowOff>
                  </from>
                  <to>
                    <xdr:col>17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2" r:id="rId1377" name="Check Box 1376">
              <controlPr defaultSize="0" autoFill="0" autoLine="0" autoPict="0">
                <anchor moveWithCells="1">
                  <from>
                    <xdr:col>18</xdr:col>
                    <xdr:colOff>47625</xdr:colOff>
                    <xdr:row>63</xdr:row>
                    <xdr:rowOff>38100</xdr:rowOff>
                  </from>
                  <to>
                    <xdr:col>18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3" r:id="rId1378" name="Check Box 1377">
              <controlPr defaultSize="0" autoFill="0" autoLine="0" autoPict="0">
                <anchor moveWithCells="1">
                  <from>
                    <xdr:col>19</xdr:col>
                    <xdr:colOff>47625</xdr:colOff>
                    <xdr:row>63</xdr:row>
                    <xdr:rowOff>38100</xdr:rowOff>
                  </from>
                  <to>
                    <xdr:col>19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4" r:id="rId1379" name="Check Box 1378">
              <controlPr defaultSize="0" autoFill="0" autoLine="0" autoPict="0">
                <anchor moveWithCells="1">
                  <from>
                    <xdr:col>20</xdr:col>
                    <xdr:colOff>47625</xdr:colOff>
                    <xdr:row>63</xdr:row>
                    <xdr:rowOff>38100</xdr:rowOff>
                  </from>
                  <to>
                    <xdr:col>20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5" r:id="rId1380" name="Check Box 1379">
              <controlPr defaultSize="0" autoFill="0" autoLine="0" autoPict="0">
                <anchor moveWithCells="1">
                  <from>
                    <xdr:col>21</xdr:col>
                    <xdr:colOff>47625</xdr:colOff>
                    <xdr:row>63</xdr:row>
                    <xdr:rowOff>38100</xdr:rowOff>
                  </from>
                  <to>
                    <xdr:col>21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6" r:id="rId1381" name="Check Box 1380">
              <controlPr defaultSize="0" autoFill="0" autoLine="0" autoPict="0">
                <anchor moveWithCells="1">
                  <from>
                    <xdr:col>22</xdr:col>
                    <xdr:colOff>47625</xdr:colOff>
                    <xdr:row>63</xdr:row>
                    <xdr:rowOff>38100</xdr:rowOff>
                  </from>
                  <to>
                    <xdr:col>22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7" r:id="rId1382" name="Check Box 1381">
              <controlPr defaultSize="0" autoFill="0" autoLine="0" autoPict="0">
                <anchor moveWithCells="1">
                  <from>
                    <xdr:col>23</xdr:col>
                    <xdr:colOff>47625</xdr:colOff>
                    <xdr:row>63</xdr:row>
                    <xdr:rowOff>38100</xdr:rowOff>
                  </from>
                  <to>
                    <xdr:col>23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8" r:id="rId1383" name="Check Box 1382">
              <controlPr defaultSize="0" autoFill="0" autoLine="0" autoPict="0">
                <anchor moveWithCells="1">
                  <from>
                    <xdr:col>24</xdr:col>
                    <xdr:colOff>47625</xdr:colOff>
                    <xdr:row>63</xdr:row>
                    <xdr:rowOff>38100</xdr:rowOff>
                  </from>
                  <to>
                    <xdr:col>24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9" r:id="rId1384" name="Check Box 1383">
              <controlPr defaultSize="0" autoFill="0" autoLine="0" autoPict="0">
                <anchor moveWithCells="1">
                  <from>
                    <xdr:col>25</xdr:col>
                    <xdr:colOff>47625</xdr:colOff>
                    <xdr:row>63</xdr:row>
                    <xdr:rowOff>38100</xdr:rowOff>
                  </from>
                  <to>
                    <xdr:col>25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0" r:id="rId1385" name="Check Box 1384">
              <controlPr defaultSize="0" autoFill="0" autoLine="0" autoPict="0">
                <anchor moveWithCells="1">
                  <from>
                    <xdr:col>26</xdr:col>
                    <xdr:colOff>47625</xdr:colOff>
                    <xdr:row>63</xdr:row>
                    <xdr:rowOff>38100</xdr:rowOff>
                  </from>
                  <to>
                    <xdr:col>26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1" r:id="rId1386" name="Check Box 1385">
              <controlPr defaultSize="0" autoFill="0" autoLine="0" autoPict="0">
                <anchor moveWithCells="1">
                  <from>
                    <xdr:col>27</xdr:col>
                    <xdr:colOff>47625</xdr:colOff>
                    <xdr:row>63</xdr:row>
                    <xdr:rowOff>38100</xdr:rowOff>
                  </from>
                  <to>
                    <xdr:col>27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2" r:id="rId1387" name="Check Box 1386">
              <controlPr defaultSize="0" autoFill="0" autoLine="0" autoPict="0">
                <anchor moveWithCells="1">
                  <from>
                    <xdr:col>28</xdr:col>
                    <xdr:colOff>47625</xdr:colOff>
                    <xdr:row>63</xdr:row>
                    <xdr:rowOff>38100</xdr:rowOff>
                  </from>
                  <to>
                    <xdr:col>28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3" r:id="rId1388" name="Check Box 1387">
              <controlPr defaultSize="0" autoFill="0" autoLine="0" autoPict="0">
                <anchor moveWithCells="1">
                  <from>
                    <xdr:col>29</xdr:col>
                    <xdr:colOff>47625</xdr:colOff>
                    <xdr:row>63</xdr:row>
                    <xdr:rowOff>38100</xdr:rowOff>
                  </from>
                  <to>
                    <xdr:col>29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4" r:id="rId1389" name="Check Box 1388">
              <controlPr defaultSize="0" autoFill="0" autoLine="0" autoPict="0">
                <anchor moveWithCells="1">
                  <from>
                    <xdr:col>30</xdr:col>
                    <xdr:colOff>47625</xdr:colOff>
                    <xdr:row>63</xdr:row>
                    <xdr:rowOff>38100</xdr:rowOff>
                  </from>
                  <to>
                    <xdr:col>30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5" r:id="rId1390" name="Check Box 1389">
              <controlPr defaultSize="0" autoFill="0" autoLine="0" autoPict="0">
                <anchor moveWithCells="1">
                  <from>
                    <xdr:col>31</xdr:col>
                    <xdr:colOff>47625</xdr:colOff>
                    <xdr:row>63</xdr:row>
                    <xdr:rowOff>38100</xdr:rowOff>
                  </from>
                  <to>
                    <xdr:col>31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6" r:id="rId1391" name="Check Box 1390">
              <controlPr defaultSize="0" autoFill="0" autoLine="0" autoPict="0">
                <anchor moveWithCells="1">
                  <from>
                    <xdr:col>32</xdr:col>
                    <xdr:colOff>47625</xdr:colOff>
                    <xdr:row>63</xdr:row>
                    <xdr:rowOff>38100</xdr:rowOff>
                  </from>
                  <to>
                    <xdr:col>32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7" r:id="rId1392" name="Check Box 1391">
              <controlPr defaultSize="0" autoFill="0" autoLine="0" autoPict="0">
                <anchor moveWithCells="1">
                  <from>
                    <xdr:col>33</xdr:col>
                    <xdr:colOff>47625</xdr:colOff>
                    <xdr:row>63</xdr:row>
                    <xdr:rowOff>38100</xdr:rowOff>
                  </from>
                  <to>
                    <xdr:col>33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8" r:id="rId1393" name="Check Box 1392">
              <controlPr defaultSize="0" autoFill="0" autoLine="0" autoPict="0">
                <anchor moveWithCells="1">
                  <from>
                    <xdr:col>34</xdr:col>
                    <xdr:colOff>47625</xdr:colOff>
                    <xdr:row>63</xdr:row>
                    <xdr:rowOff>38100</xdr:rowOff>
                  </from>
                  <to>
                    <xdr:col>34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9" r:id="rId1394" name="Check Box 1393">
              <controlPr defaultSize="0" autoFill="0" autoLine="0" autoPict="0">
                <anchor moveWithCells="1">
                  <from>
                    <xdr:col>35</xdr:col>
                    <xdr:colOff>47625</xdr:colOff>
                    <xdr:row>63</xdr:row>
                    <xdr:rowOff>38100</xdr:rowOff>
                  </from>
                  <to>
                    <xdr:col>35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0" r:id="rId1395" name="Check Box 1394">
              <controlPr defaultSize="0" autoFill="0" autoLine="0" autoPict="0">
                <anchor moveWithCells="1">
                  <from>
                    <xdr:col>36</xdr:col>
                    <xdr:colOff>47625</xdr:colOff>
                    <xdr:row>63</xdr:row>
                    <xdr:rowOff>38100</xdr:rowOff>
                  </from>
                  <to>
                    <xdr:col>36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1" r:id="rId1396" name="Check Box 1395">
              <controlPr defaultSize="0" autoFill="0" autoLine="0" autoPict="0">
                <anchor moveWithCells="1">
                  <from>
                    <xdr:col>37</xdr:col>
                    <xdr:colOff>47625</xdr:colOff>
                    <xdr:row>63</xdr:row>
                    <xdr:rowOff>38100</xdr:rowOff>
                  </from>
                  <to>
                    <xdr:col>37</xdr:col>
                    <xdr:colOff>342900</xdr:colOff>
                    <xdr:row>63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2" r:id="rId1397" name="Check Box 1396">
              <controlPr defaultSize="0" autoFill="0" autoLine="0" autoPict="0">
                <anchor moveWithCells="1">
                  <from>
                    <xdr:col>7</xdr:col>
                    <xdr:colOff>47625</xdr:colOff>
                    <xdr:row>64</xdr:row>
                    <xdr:rowOff>38100</xdr:rowOff>
                  </from>
                  <to>
                    <xdr:col>7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3" r:id="rId1398" name="Check Box 1397">
              <controlPr defaultSize="0" autoFill="0" autoLine="0" autoPict="0">
                <anchor moveWithCells="1">
                  <from>
                    <xdr:col>8</xdr:col>
                    <xdr:colOff>47625</xdr:colOff>
                    <xdr:row>64</xdr:row>
                    <xdr:rowOff>38100</xdr:rowOff>
                  </from>
                  <to>
                    <xdr:col>8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4" r:id="rId1399" name="Check Box 1398">
              <controlPr defaultSize="0" autoFill="0" autoLine="0" autoPict="0">
                <anchor moveWithCells="1">
                  <from>
                    <xdr:col>9</xdr:col>
                    <xdr:colOff>47625</xdr:colOff>
                    <xdr:row>64</xdr:row>
                    <xdr:rowOff>38100</xdr:rowOff>
                  </from>
                  <to>
                    <xdr:col>9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5" r:id="rId1400" name="Check Box 1399">
              <controlPr defaultSize="0" autoFill="0" autoLine="0" autoPict="0">
                <anchor moveWithCells="1">
                  <from>
                    <xdr:col>10</xdr:col>
                    <xdr:colOff>47625</xdr:colOff>
                    <xdr:row>64</xdr:row>
                    <xdr:rowOff>38100</xdr:rowOff>
                  </from>
                  <to>
                    <xdr:col>10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6" r:id="rId1401" name="Check Box 1400">
              <controlPr defaultSize="0" autoFill="0" autoLine="0" autoPict="0">
                <anchor moveWithCells="1">
                  <from>
                    <xdr:col>11</xdr:col>
                    <xdr:colOff>47625</xdr:colOff>
                    <xdr:row>64</xdr:row>
                    <xdr:rowOff>38100</xdr:rowOff>
                  </from>
                  <to>
                    <xdr:col>11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7" r:id="rId1402" name="Check Box 1401">
              <controlPr defaultSize="0" autoFill="0" autoLine="0" autoPict="0">
                <anchor moveWithCells="1">
                  <from>
                    <xdr:col>12</xdr:col>
                    <xdr:colOff>47625</xdr:colOff>
                    <xdr:row>64</xdr:row>
                    <xdr:rowOff>38100</xdr:rowOff>
                  </from>
                  <to>
                    <xdr:col>12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8" r:id="rId1403" name="Check Box 1402">
              <controlPr defaultSize="0" autoFill="0" autoLine="0" autoPict="0">
                <anchor moveWithCells="1">
                  <from>
                    <xdr:col>13</xdr:col>
                    <xdr:colOff>47625</xdr:colOff>
                    <xdr:row>64</xdr:row>
                    <xdr:rowOff>38100</xdr:rowOff>
                  </from>
                  <to>
                    <xdr:col>13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9" r:id="rId1404" name="Check Box 1403">
              <controlPr defaultSize="0" autoFill="0" autoLine="0" autoPict="0">
                <anchor moveWithCells="1">
                  <from>
                    <xdr:col>14</xdr:col>
                    <xdr:colOff>47625</xdr:colOff>
                    <xdr:row>64</xdr:row>
                    <xdr:rowOff>38100</xdr:rowOff>
                  </from>
                  <to>
                    <xdr:col>14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0" r:id="rId1405" name="Check Box 1404">
              <controlPr defaultSize="0" autoFill="0" autoLine="0" autoPict="0">
                <anchor moveWithCells="1">
                  <from>
                    <xdr:col>15</xdr:col>
                    <xdr:colOff>47625</xdr:colOff>
                    <xdr:row>64</xdr:row>
                    <xdr:rowOff>38100</xdr:rowOff>
                  </from>
                  <to>
                    <xdr:col>15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1" r:id="rId1406" name="Check Box 1405">
              <controlPr defaultSize="0" autoFill="0" autoLine="0" autoPict="0">
                <anchor moveWithCells="1">
                  <from>
                    <xdr:col>16</xdr:col>
                    <xdr:colOff>47625</xdr:colOff>
                    <xdr:row>64</xdr:row>
                    <xdr:rowOff>38100</xdr:rowOff>
                  </from>
                  <to>
                    <xdr:col>16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2" r:id="rId1407" name="Check Box 1406">
              <controlPr defaultSize="0" autoFill="0" autoLine="0" autoPict="0">
                <anchor moveWithCells="1">
                  <from>
                    <xdr:col>17</xdr:col>
                    <xdr:colOff>47625</xdr:colOff>
                    <xdr:row>64</xdr:row>
                    <xdr:rowOff>38100</xdr:rowOff>
                  </from>
                  <to>
                    <xdr:col>17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3" r:id="rId1408" name="Check Box 1407">
              <controlPr defaultSize="0" autoFill="0" autoLine="0" autoPict="0">
                <anchor moveWithCells="1">
                  <from>
                    <xdr:col>18</xdr:col>
                    <xdr:colOff>47625</xdr:colOff>
                    <xdr:row>64</xdr:row>
                    <xdr:rowOff>38100</xdr:rowOff>
                  </from>
                  <to>
                    <xdr:col>18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4" r:id="rId1409" name="Check Box 1408">
              <controlPr defaultSize="0" autoFill="0" autoLine="0" autoPict="0">
                <anchor moveWithCells="1">
                  <from>
                    <xdr:col>19</xdr:col>
                    <xdr:colOff>47625</xdr:colOff>
                    <xdr:row>64</xdr:row>
                    <xdr:rowOff>38100</xdr:rowOff>
                  </from>
                  <to>
                    <xdr:col>19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5" r:id="rId1410" name="Check Box 1409">
              <controlPr defaultSize="0" autoFill="0" autoLine="0" autoPict="0">
                <anchor moveWithCells="1">
                  <from>
                    <xdr:col>20</xdr:col>
                    <xdr:colOff>47625</xdr:colOff>
                    <xdr:row>64</xdr:row>
                    <xdr:rowOff>38100</xdr:rowOff>
                  </from>
                  <to>
                    <xdr:col>20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6" r:id="rId1411" name="Check Box 1410">
              <controlPr defaultSize="0" autoFill="0" autoLine="0" autoPict="0">
                <anchor moveWithCells="1">
                  <from>
                    <xdr:col>21</xdr:col>
                    <xdr:colOff>47625</xdr:colOff>
                    <xdr:row>64</xdr:row>
                    <xdr:rowOff>38100</xdr:rowOff>
                  </from>
                  <to>
                    <xdr:col>21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7" r:id="rId1412" name="Check Box 1411">
              <controlPr defaultSize="0" autoFill="0" autoLine="0" autoPict="0">
                <anchor moveWithCells="1">
                  <from>
                    <xdr:col>22</xdr:col>
                    <xdr:colOff>47625</xdr:colOff>
                    <xdr:row>64</xdr:row>
                    <xdr:rowOff>38100</xdr:rowOff>
                  </from>
                  <to>
                    <xdr:col>22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8" r:id="rId1413" name="Check Box 1412">
              <controlPr defaultSize="0" autoFill="0" autoLine="0" autoPict="0">
                <anchor moveWithCells="1">
                  <from>
                    <xdr:col>23</xdr:col>
                    <xdr:colOff>47625</xdr:colOff>
                    <xdr:row>64</xdr:row>
                    <xdr:rowOff>38100</xdr:rowOff>
                  </from>
                  <to>
                    <xdr:col>23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9" r:id="rId1414" name="Check Box 1413">
              <controlPr defaultSize="0" autoFill="0" autoLine="0" autoPict="0">
                <anchor moveWithCells="1">
                  <from>
                    <xdr:col>24</xdr:col>
                    <xdr:colOff>47625</xdr:colOff>
                    <xdr:row>64</xdr:row>
                    <xdr:rowOff>38100</xdr:rowOff>
                  </from>
                  <to>
                    <xdr:col>24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0" r:id="rId1415" name="Check Box 1414">
              <controlPr defaultSize="0" autoFill="0" autoLine="0" autoPict="0">
                <anchor moveWithCells="1">
                  <from>
                    <xdr:col>25</xdr:col>
                    <xdr:colOff>47625</xdr:colOff>
                    <xdr:row>64</xdr:row>
                    <xdr:rowOff>38100</xdr:rowOff>
                  </from>
                  <to>
                    <xdr:col>25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1" r:id="rId1416" name="Check Box 1415">
              <controlPr defaultSize="0" autoFill="0" autoLine="0" autoPict="0">
                <anchor moveWithCells="1">
                  <from>
                    <xdr:col>26</xdr:col>
                    <xdr:colOff>47625</xdr:colOff>
                    <xdr:row>64</xdr:row>
                    <xdr:rowOff>38100</xdr:rowOff>
                  </from>
                  <to>
                    <xdr:col>26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2" r:id="rId1417" name="Check Box 1416">
              <controlPr defaultSize="0" autoFill="0" autoLine="0" autoPict="0">
                <anchor moveWithCells="1">
                  <from>
                    <xdr:col>27</xdr:col>
                    <xdr:colOff>47625</xdr:colOff>
                    <xdr:row>64</xdr:row>
                    <xdr:rowOff>38100</xdr:rowOff>
                  </from>
                  <to>
                    <xdr:col>27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3" r:id="rId1418" name="Check Box 1417">
              <controlPr defaultSize="0" autoFill="0" autoLine="0" autoPict="0">
                <anchor moveWithCells="1">
                  <from>
                    <xdr:col>28</xdr:col>
                    <xdr:colOff>47625</xdr:colOff>
                    <xdr:row>64</xdr:row>
                    <xdr:rowOff>38100</xdr:rowOff>
                  </from>
                  <to>
                    <xdr:col>28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4" r:id="rId1419" name="Check Box 1418">
              <controlPr defaultSize="0" autoFill="0" autoLine="0" autoPict="0">
                <anchor moveWithCells="1">
                  <from>
                    <xdr:col>29</xdr:col>
                    <xdr:colOff>47625</xdr:colOff>
                    <xdr:row>64</xdr:row>
                    <xdr:rowOff>38100</xdr:rowOff>
                  </from>
                  <to>
                    <xdr:col>29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5" r:id="rId1420" name="Check Box 1419">
              <controlPr defaultSize="0" autoFill="0" autoLine="0" autoPict="0">
                <anchor moveWithCells="1">
                  <from>
                    <xdr:col>30</xdr:col>
                    <xdr:colOff>47625</xdr:colOff>
                    <xdr:row>64</xdr:row>
                    <xdr:rowOff>38100</xdr:rowOff>
                  </from>
                  <to>
                    <xdr:col>30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6" r:id="rId1421" name="Check Box 1420">
              <controlPr defaultSize="0" autoFill="0" autoLine="0" autoPict="0">
                <anchor moveWithCells="1">
                  <from>
                    <xdr:col>31</xdr:col>
                    <xdr:colOff>47625</xdr:colOff>
                    <xdr:row>64</xdr:row>
                    <xdr:rowOff>38100</xdr:rowOff>
                  </from>
                  <to>
                    <xdr:col>31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7" r:id="rId1422" name="Check Box 1421">
              <controlPr defaultSize="0" autoFill="0" autoLine="0" autoPict="0">
                <anchor moveWithCells="1">
                  <from>
                    <xdr:col>32</xdr:col>
                    <xdr:colOff>47625</xdr:colOff>
                    <xdr:row>64</xdr:row>
                    <xdr:rowOff>38100</xdr:rowOff>
                  </from>
                  <to>
                    <xdr:col>32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8" r:id="rId1423" name="Check Box 1422">
              <controlPr defaultSize="0" autoFill="0" autoLine="0" autoPict="0">
                <anchor moveWithCells="1">
                  <from>
                    <xdr:col>33</xdr:col>
                    <xdr:colOff>47625</xdr:colOff>
                    <xdr:row>64</xdr:row>
                    <xdr:rowOff>38100</xdr:rowOff>
                  </from>
                  <to>
                    <xdr:col>33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9" r:id="rId1424" name="Check Box 1423">
              <controlPr defaultSize="0" autoFill="0" autoLine="0" autoPict="0">
                <anchor moveWithCells="1">
                  <from>
                    <xdr:col>34</xdr:col>
                    <xdr:colOff>47625</xdr:colOff>
                    <xdr:row>64</xdr:row>
                    <xdr:rowOff>38100</xdr:rowOff>
                  </from>
                  <to>
                    <xdr:col>34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0" r:id="rId1425" name="Check Box 1424">
              <controlPr defaultSize="0" autoFill="0" autoLine="0" autoPict="0">
                <anchor moveWithCells="1">
                  <from>
                    <xdr:col>35</xdr:col>
                    <xdr:colOff>47625</xdr:colOff>
                    <xdr:row>64</xdr:row>
                    <xdr:rowOff>38100</xdr:rowOff>
                  </from>
                  <to>
                    <xdr:col>35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1" r:id="rId1426" name="Check Box 1425">
              <controlPr defaultSize="0" autoFill="0" autoLine="0" autoPict="0">
                <anchor moveWithCells="1">
                  <from>
                    <xdr:col>36</xdr:col>
                    <xdr:colOff>47625</xdr:colOff>
                    <xdr:row>64</xdr:row>
                    <xdr:rowOff>38100</xdr:rowOff>
                  </from>
                  <to>
                    <xdr:col>36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2" r:id="rId1427" name="Check Box 1426">
              <controlPr defaultSize="0" autoFill="0" autoLine="0" autoPict="0">
                <anchor moveWithCells="1">
                  <from>
                    <xdr:col>37</xdr:col>
                    <xdr:colOff>47625</xdr:colOff>
                    <xdr:row>64</xdr:row>
                    <xdr:rowOff>38100</xdr:rowOff>
                  </from>
                  <to>
                    <xdr:col>37</xdr:col>
                    <xdr:colOff>342900</xdr:colOff>
                    <xdr:row>64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3" r:id="rId1428" name="Check Box 1427">
              <controlPr defaultSize="0" autoFill="0" autoLine="0" autoPict="0">
                <anchor moveWithCells="1">
                  <from>
                    <xdr:col>7</xdr:col>
                    <xdr:colOff>47625</xdr:colOff>
                    <xdr:row>65</xdr:row>
                    <xdr:rowOff>38100</xdr:rowOff>
                  </from>
                  <to>
                    <xdr:col>7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4" r:id="rId1429" name="Check Box 1428">
              <controlPr defaultSize="0" autoFill="0" autoLine="0" autoPict="0">
                <anchor moveWithCells="1">
                  <from>
                    <xdr:col>8</xdr:col>
                    <xdr:colOff>47625</xdr:colOff>
                    <xdr:row>65</xdr:row>
                    <xdr:rowOff>38100</xdr:rowOff>
                  </from>
                  <to>
                    <xdr:col>8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5" r:id="rId1430" name="Check Box 1429">
              <controlPr defaultSize="0" autoFill="0" autoLine="0" autoPict="0">
                <anchor moveWithCells="1">
                  <from>
                    <xdr:col>9</xdr:col>
                    <xdr:colOff>47625</xdr:colOff>
                    <xdr:row>65</xdr:row>
                    <xdr:rowOff>38100</xdr:rowOff>
                  </from>
                  <to>
                    <xdr:col>9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6" r:id="rId1431" name="Check Box 1430">
              <controlPr defaultSize="0" autoFill="0" autoLine="0" autoPict="0">
                <anchor moveWithCells="1">
                  <from>
                    <xdr:col>10</xdr:col>
                    <xdr:colOff>47625</xdr:colOff>
                    <xdr:row>65</xdr:row>
                    <xdr:rowOff>38100</xdr:rowOff>
                  </from>
                  <to>
                    <xdr:col>10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7" r:id="rId1432" name="Check Box 1431">
              <controlPr defaultSize="0" autoFill="0" autoLine="0" autoPict="0">
                <anchor moveWithCells="1">
                  <from>
                    <xdr:col>11</xdr:col>
                    <xdr:colOff>47625</xdr:colOff>
                    <xdr:row>65</xdr:row>
                    <xdr:rowOff>38100</xdr:rowOff>
                  </from>
                  <to>
                    <xdr:col>11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8" r:id="rId1433" name="Check Box 1432">
              <controlPr defaultSize="0" autoFill="0" autoLine="0" autoPict="0">
                <anchor moveWithCells="1">
                  <from>
                    <xdr:col>12</xdr:col>
                    <xdr:colOff>47625</xdr:colOff>
                    <xdr:row>65</xdr:row>
                    <xdr:rowOff>38100</xdr:rowOff>
                  </from>
                  <to>
                    <xdr:col>12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" r:id="rId1434" name="Check Box 1433">
              <controlPr defaultSize="0" autoFill="0" autoLine="0" autoPict="0">
                <anchor moveWithCells="1">
                  <from>
                    <xdr:col>13</xdr:col>
                    <xdr:colOff>47625</xdr:colOff>
                    <xdr:row>65</xdr:row>
                    <xdr:rowOff>38100</xdr:rowOff>
                  </from>
                  <to>
                    <xdr:col>13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" r:id="rId1435" name="Check Box 1434">
              <controlPr defaultSize="0" autoFill="0" autoLine="0" autoPict="0">
                <anchor moveWithCells="1">
                  <from>
                    <xdr:col>14</xdr:col>
                    <xdr:colOff>47625</xdr:colOff>
                    <xdr:row>65</xdr:row>
                    <xdr:rowOff>38100</xdr:rowOff>
                  </from>
                  <to>
                    <xdr:col>14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" r:id="rId1436" name="Check Box 1435">
              <controlPr defaultSize="0" autoFill="0" autoLine="0" autoPict="0">
                <anchor moveWithCells="1">
                  <from>
                    <xdr:col>15</xdr:col>
                    <xdr:colOff>47625</xdr:colOff>
                    <xdr:row>65</xdr:row>
                    <xdr:rowOff>38100</xdr:rowOff>
                  </from>
                  <to>
                    <xdr:col>15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" r:id="rId1437" name="Check Box 1436">
              <controlPr defaultSize="0" autoFill="0" autoLine="0" autoPict="0">
                <anchor moveWithCells="1">
                  <from>
                    <xdr:col>16</xdr:col>
                    <xdr:colOff>47625</xdr:colOff>
                    <xdr:row>65</xdr:row>
                    <xdr:rowOff>38100</xdr:rowOff>
                  </from>
                  <to>
                    <xdr:col>16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" r:id="rId1438" name="Check Box 1437">
              <controlPr defaultSize="0" autoFill="0" autoLine="0" autoPict="0">
                <anchor moveWithCells="1">
                  <from>
                    <xdr:col>17</xdr:col>
                    <xdr:colOff>47625</xdr:colOff>
                    <xdr:row>65</xdr:row>
                    <xdr:rowOff>38100</xdr:rowOff>
                  </from>
                  <to>
                    <xdr:col>17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4" r:id="rId1439" name="Check Box 1438">
              <controlPr defaultSize="0" autoFill="0" autoLine="0" autoPict="0">
                <anchor moveWithCells="1">
                  <from>
                    <xdr:col>18</xdr:col>
                    <xdr:colOff>47625</xdr:colOff>
                    <xdr:row>65</xdr:row>
                    <xdr:rowOff>38100</xdr:rowOff>
                  </from>
                  <to>
                    <xdr:col>18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5" r:id="rId1440" name="Check Box 1439">
              <controlPr defaultSize="0" autoFill="0" autoLine="0" autoPict="0">
                <anchor moveWithCells="1">
                  <from>
                    <xdr:col>19</xdr:col>
                    <xdr:colOff>47625</xdr:colOff>
                    <xdr:row>65</xdr:row>
                    <xdr:rowOff>38100</xdr:rowOff>
                  </from>
                  <to>
                    <xdr:col>19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6" r:id="rId1441" name="Check Box 1440">
              <controlPr defaultSize="0" autoFill="0" autoLine="0" autoPict="0">
                <anchor moveWithCells="1">
                  <from>
                    <xdr:col>20</xdr:col>
                    <xdr:colOff>47625</xdr:colOff>
                    <xdr:row>65</xdr:row>
                    <xdr:rowOff>38100</xdr:rowOff>
                  </from>
                  <to>
                    <xdr:col>20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7" r:id="rId1442" name="Check Box 1441">
              <controlPr defaultSize="0" autoFill="0" autoLine="0" autoPict="0">
                <anchor moveWithCells="1">
                  <from>
                    <xdr:col>21</xdr:col>
                    <xdr:colOff>47625</xdr:colOff>
                    <xdr:row>65</xdr:row>
                    <xdr:rowOff>38100</xdr:rowOff>
                  </from>
                  <to>
                    <xdr:col>21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8" r:id="rId1443" name="Check Box 1442">
              <controlPr defaultSize="0" autoFill="0" autoLine="0" autoPict="0">
                <anchor moveWithCells="1">
                  <from>
                    <xdr:col>22</xdr:col>
                    <xdr:colOff>47625</xdr:colOff>
                    <xdr:row>65</xdr:row>
                    <xdr:rowOff>38100</xdr:rowOff>
                  </from>
                  <to>
                    <xdr:col>22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9" r:id="rId1444" name="Check Box 1443">
              <controlPr defaultSize="0" autoFill="0" autoLine="0" autoPict="0">
                <anchor moveWithCells="1">
                  <from>
                    <xdr:col>23</xdr:col>
                    <xdr:colOff>47625</xdr:colOff>
                    <xdr:row>65</xdr:row>
                    <xdr:rowOff>38100</xdr:rowOff>
                  </from>
                  <to>
                    <xdr:col>23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0" r:id="rId1445" name="Check Box 1444">
              <controlPr defaultSize="0" autoFill="0" autoLine="0" autoPict="0">
                <anchor moveWithCells="1">
                  <from>
                    <xdr:col>24</xdr:col>
                    <xdr:colOff>47625</xdr:colOff>
                    <xdr:row>65</xdr:row>
                    <xdr:rowOff>38100</xdr:rowOff>
                  </from>
                  <to>
                    <xdr:col>24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1" r:id="rId1446" name="Check Box 1445">
              <controlPr defaultSize="0" autoFill="0" autoLine="0" autoPict="0">
                <anchor moveWithCells="1">
                  <from>
                    <xdr:col>25</xdr:col>
                    <xdr:colOff>47625</xdr:colOff>
                    <xdr:row>65</xdr:row>
                    <xdr:rowOff>38100</xdr:rowOff>
                  </from>
                  <to>
                    <xdr:col>25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2" r:id="rId1447" name="Check Box 1446">
              <controlPr defaultSize="0" autoFill="0" autoLine="0" autoPict="0">
                <anchor moveWithCells="1">
                  <from>
                    <xdr:col>26</xdr:col>
                    <xdr:colOff>47625</xdr:colOff>
                    <xdr:row>65</xdr:row>
                    <xdr:rowOff>38100</xdr:rowOff>
                  </from>
                  <to>
                    <xdr:col>26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3" r:id="rId1448" name="Check Box 1447">
              <controlPr defaultSize="0" autoFill="0" autoLine="0" autoPict="0">
                <anchor moveWithCells="1">
                  <from>
                    <xdr:col>27</xdr:col>
                    <xdr:colOff>47625</xdr:colOff>
                    <xdr:row>65</xdr:row>
                    <xdr:rowOff>38100</xdr:rowOff>
                  </from>
                  <to>
                    <xdr:col>27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4" r:id="rId1449" name="Check Box 1448">
              <controlPr defaultSize="0" autoFill="0" autoLine="0" autoPict="0">
                <anchor moveWithCells="1">
                  <from>
                    <xdr:col>28</xdr:col>
                    <xdr:colOff>47625</xdr:colOff>
                    <xdr:row>65</xdr:row>
                    <xdr:rowOff>38100</xdr:rowOff>
                  </from>
                  <to>
                    <xdr:col>28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5" r:id="rId1450" name="Check Box 1449">
              <controlPr defaultSize="0" autoFill="0" autoLine="0" autoPict="0">
                <anchor moveWithCells="1">
                  <from>
                    <xdr:col>29</xdr:col>
                    <xdr:colOff>47625</xdr:colOff>
                    <xdr:row>65</xdr:row>
                    <xdr:rowOff>38100</xdr:rowOff>
                  </from>
                  <to>
                    <xdr:col>29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6" r:id="rId1451" name="Check Box 1450">
              <controlPr defaultSize="0" autoFill="0" autoLine="0" autoPict="0">
                <anchor moveWithCells="1">
                  <from>
                    <xdr:col>30</xdr:col>
                    <xdr:colOff>47625</xdr:colOff>
                    <xdr:row>65</xdr:row>
                    <xdr:rowOff>38100</xdr:rowOff>
                  </from>
                  <to>
                    <xdr:col>30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7" r:id="rId1452" name="Check Box 1451">
              <controlPr defaultSize="0" autoFill="0" autoLine="0" autoPict="0">
                <anchor moveWithCells="1">
                  <from>
                    <xdr:col>31</xdr:col>
                    <xdr:colOff>47625</xdr:colOff>
                    <xdr:row>65</xdr:row>
                    <xdr:rowOff>38100</xdr:rowOff>
                  </from>
                  <to>
                    <xdr:col>31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8" r:id="rId1453" name="Check Box 1452">
              <controlPr defaultSize="0" autoFill="0" autoLine="0" autoPict="0">
                <anchor moveWithCells="1">
                  <from>
                    <xdr:col>32</xdr:col>
                    <xdr:colOff>47625</xdr:colOff>
                    <xdr:row>65</xdr:row>
                    <xdr:rowOff>38100</xdr:rowOff>
                  </from>
                  <to>
                    <xdr:col>32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9" r:id="rId1454" name="Check Box 1453">
              <controlPr defaultSize="0" autoFill="0" autoLine="0" autoPict="0">
                <anchor moveWithCells="1">
                  <from>
                    <xdr:col>33</xdr:col>
                    <xdr:colOff>47625</xdr:colOff>
                    <xdr:row>65</xdr:row>
                    <xdr:rowOff>38100</xdr:rowOff>
                  </from>
                  <to>
                    <xdr:col>33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0" r:id="rId1455" name="Check Box 1454">
              <controlPr defaultSize="0" autoFill="0" autoLine="0" autoPict="0">
                <anchor moveWithCells="1">
                  <from>
                    <xdr:col>34</xdr:col>
                    <xdr:colOff>47625</xdr:colOff>
                    <xdr:row>65</xdr:row>
                    <xdr:rowOff>38100</xdr:rowOff>
                  </from>
                  <to>
                    <xdr:col>34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1" r:id="rId1456" name="Check Box 1455">
              <controlPr defaultSize="0" autoFill="0" autoLine="0" autoPict="0">
                <anchor moveWithCells="1">
                  <from>
                    <xdr:col>35</xdr:col>
                    <xdr:colOff>47625</xdr:colOff>
                    <xdr:row>65</xdr:row>
                    <xdr:rowOff>38100</xdr:rowOff>
                  </from>
                  <to>
                    <xdr:col>35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2" r:id="rId1457" name="Check Box 1456">
              <controlPr defaultSize="0" autoFill="0" autoLine="0" autoPict="0">
                <anchor moveWithCells="1">
                  <from>
                    <xdr:col>36</xdr:col>
                    <xdr:colOff>47625</xdr:colOff>
                    <xdr:row>65</xdr:row>
                    <xdr:rowOff>38100</xdr:rowOff>
                  </from>
                  <to>
                    <xdr:col>36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3" r:id="rId1458" name="Check Box 1457">
              <controlPr defaultSize="0" autoFill="0" autoLine="0" autoPict="0">
                <anchor moveWithCells="1">
                  <from>
                    <xdr:col>37</xdr:col>
                    <xdr:colOff>47625</xdr:colOff>
                    <xdr:row>65</xdr:row>
                    <xdr:rowOff>38100</xdr:rowOff>
                  </from>
                  <to>
                    <xdr:col>37</xdr:col>
                    <xdr:colOff>342900</xdr:colOff>
                    <xdr:row>65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4" r:id="rId1459" name="Check Box 1458">
              <controlPr defaultSize="0" autoFill="0" autoLine="0" autoPict="0">
                <anchor moveWithCells="1">
                  <from>
                    <xdr:col>7</xdr:col>
                    <xdr:colOff>47625</xdr:colOff>
                    <xdr:row>66</xdr:row>
                    <xdr:rowOff>38100</xdr:rowOff>
                  </from>
                  <to>
                    <xdr:col>7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5" r:id="rId1460" name="Check Box 1459">
              <controlPr defaultSize="0" autoFill="0" autoLine="0" autoPict="0">
                <anchor moveWithCells="1">
                  <from>
                    <xdr:col>8</xdr:col>
                    <xdr:colOff>47625</xdr:colOff>
                    <xdr:row>66</xdr:row>
                    <xdr:rowOff>38100</xdr:rowOff>
                  </from>
                  <to>
                    <xdr:col>8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6" r:id="rId1461" name="Check Box 1460">
              <controlPr defaultSize="0" autoFill="0" autoLine="0" autoPict="0">
                <anchor moveWithCells="1">
                  <from>
                    <xdr:col>9</xdr:col>
                    <xdr:colOff>47625</xdr:colOff>
                    <xdr:row>66</xdr:row>
                    <xdr:rowOff>38100</xdr:rowOff>
                  </from>
                  <to>
                    <xdr:col>9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7" r:id="rId1462" name="Check Box 1461">
              <controlPr defaultSize="0" autoFill="0" autoLine="0" autoPict="0">
                <anchor moveWithCells="1">
                  <from>
                    <xdr:col>10</xdr:col>
                    <xdr:colOff>47625</xdr:colOff>
                    <xdr:row>66</xdr:row>
                    <xdr:rowOff>38100</xdr:rowOff>
                  </from>
                  <to>
                    <xdr:col>10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8" r:id="rId1463" name="Check Box 1462">
              <controlPr defaultSize="0" autoFill="0" autoLine="0" autoPict="0">
                <anchor moveWithCells="1">
                  <from>
                    <xdr:col>11</xdr:col>
                    <xdr:colOff>47625</xdr:colOff>
                    <xdr:row>66</xdr:row>
                    <xdr:rowOff>38100</xdr:rowOff>
                  </from>
                  <to>
                    <xdr:col>11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9" r:id="rId1464" name="Check Box 1463">
              <controlPr defaultSize="0" autoFill="0" autoLine="0" autoPict="0">
                <anchor moveWithCells="1">
                  <from>
                    <xdr:col>12</xdr:col>
                    <xdr:colOff>47625</xdr:colOff>
                    <xdr:row>66</xdr:row>
                    <xdr:rowOff>38100</xdr:rowOff>
                  </from>
                  <to>
                    <xdr:col>12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0" r:id="rId1465" name="Check Box 1464">
              <controlPr defaultSize="0" autoFill="0" autoLine="0" autoPict="0">
                <anchor moveWithCells="1">
                  <from>
                    <xdr:col>13</xdr:col>
                    <xdr:colOff>47625</xdr:colOff>
                    <xdr:row>66</xdr:row>
                    <xdr:rowOff>38100</xdr:rowOff>
                  </from>
                  <to>
                    <xdr:col>13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1" r:id="rId1466" name="Check Box 1465">
              <controlPr defaultSize="0" autoFill="0" autoLine="0" autoPict="0">
                <anchor moveWithCells="1">
                  <from>
                    <xdr:col>14</xdr:col>
                    <xdr:colOff>47625</xdr:colOff>
                    <xdr:row>66</xdr:row>
                    <xdr:rowOff>38100</xdr:rowOff>
                  </from>
                  <to>
                    <xdr:col>14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2" r:id="rId1467" name="Check Box 1466">
              <controlPr defaultSize="0" autoFill="0" autoLine="0" autoPict="0">
                <anchor moveWithCells="1">
                  <from>
                    <xdr:col>15</xdr:col>
                    <xdr:colOff>47625</xdr:colOff>
                    <xdr:row>66</xdr:row>
                    <xdr:rowOff>38100</xdr:rowOff>
                  </from>
                  <to>
                    <xdr:col>15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3" r:id="rId1468" name="Check Box 1467">
              <controlPr defaultSize="0" autoFill="0" autoLine="0" autoPict="0">
                <anchor moveWithCells="1">
                  <from>
                    <xdr:col>16</xdr:col>
                    <xdr:colOff>47625</xdr:colOff>
                    <xdr:row>66</xdr:row>
                    <xdr:rowOff>38100</xdr:rowOff>
                  </from>
                  <to>
                    <xdr:col>16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4" r:id="rId1469" name="Check Box 1468">
              <controlPr defaultSize="0" autoFill="0" autoLine="0" autoPict="0">
                <anchor moveWithCells="1">
                  <from>
                    <xdr:col>17</xdr:col>
                    <xdr:colOff>47625</xdr:colOff>
                    <xdr:row>66</xdr:row>
                    <xdr:rowOff>38100</xdr:rowOff>
                  </from>
                  <to>
                    <xdr:col>17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5" r:id="rId1470" name="Check Box 1469">
              <controlPr defaultSize="0" autoFill="0" autoLine="0" autoPict="0">
                <anchor moveWithCells="1">
                  <from>
                    <xdr:col>18</xdr:col>
                    <xdr:colOff>47625</xdr:colOff>
                    <xdr:row>66</xdr:row>
                    <xdr:rowOff>38100</xdr:rowOff>
                  </from>
                  <to>
                    <xdr:col>18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6" r:id="rId1471" name="Check Box 1470">
              <controlPr defaultSize="0" autoFill="0" autoLine="0" autoPict="0">
                <anchor moveWithCells="1">
                  <from>
                    <xdr:col>19</xdr:col>
                    <xdr:colOff>47625</xdr:colOff>
                    <xdr:row>66</xdr:row>
                    <xdr:rowOff>38100</xdr:rowOff>
                  </from>
                  <to>
                    <xdr:col>19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7" r:id="rId1472" name="Check Box 1471">
              <controlPr defaultSize="0" autoFill="0" autoLine="0" autoPict="0">
                <anchor moveWithCells="1">
                  <from>
                    <xdr:col>20</xdr:col>
                    <xdr:colOff>47625</xdr:colOff>
                    <xdr:row>66</xdr:row>
                    <xdr:rowOff>38100</xdr:rowOff>
                  </from>
                  <to>
                    <xdr:col>20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8" r:id="rId1473" name="Check Box 1472">
              <controlPr defaultSize="0" autoFill="0" autoLine="0" autoPict="0">
                <anchor moveWithCells="1">
                  <from>
                    <xdr:col>21</xdr:col>
                    <xdr:colOff>47625</xdr:colOff>
                    <xdr:row>66</xdr:row>
                    <xdr:rowOff>38100</xdr:rowOff>
                  </from>
                  <to>
                    <xdr:col>21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9" r:id="rId1474" name="Check Box 1473">
              <controlPr defaultSize="0" autoFill="0" autoLine="0" autoPict="0">
                <anchor moveWithCells="1">
                  <from>
                    <xdr:col>22</xdr:col>
                    <xdr:colOff>47625</xdr:colOff>
                    <xdr:row>66</xdr:row>
                    <xdr:rowOff>38100</xdr:rowOff>
                  </from>
                  <to>
                    <xdr:col>22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0" r:id="rId1475" name="Check Box 1474">
              <controlPr defaultSize="0" autoFill="0" autoLine="0" autoPict="0">
                <anchor moveWithCells="1">
                  <from>
                    <xdr:col>23</xdr:col>
                    <xdr:colOff>47625</xdr:colOff>
                    <xdr:row>66</xdr:row>
                    <xdr:rowOff>38100</xdr:rowOff>
                  </from>
                  <to>
                    <xdr:col>23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1" r:id="rId1476" name="Check Box 1475">
              <controlPr defaultSize="0" autoFill="0" autoLine="0" autoPict="0">
                <anchor moveWithCells="1">
                  <from>
                    <xdr:col>24</xdr:col>
                    <xdr:colOff>47625</xdr:colOff>
                    <xdr:row>66</xdr:row>
                    <xdr:rowOff>38100</xdr:rowOff>
                  </from>
                  <to>
                    <xdr:col>24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2" r:id="rId1477" name="Check Box 1476">
              <controlPr defaultSize="0" autoFill="0" autoLine="0" autoPict="0">
                <anchor moveWithCells="1">
                  <from>
                    <xdr:col>25</xdr:col>
                    <xdr:colOff>47625</xdr:colOff>
                    <xdr:row>66</xdr:row>
                    <xdr:rowOff>38100</xdr:rowOff>
                  </from>
                  <to>
                    <xdr:col>25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3" r:id="rId1478" name="Check Box 1477">
              <controlPr defaultSize="0" autoFill="0" autoLine="0" autoPict="0">
                <anchor moveWithCells="1">
                  <from>
                    <xdr:col>26</xdr:col>
                    <xdr:colOff>47625</xdr:colOff>
                    <xdr:row>66</xdr:row>
                    <xdr:rowOff>38100</xdr:rowOff>
                  </from>
                  <to>
                    <xdr:col>26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4" r:id="rId1479" name="Check Box 1478">
              <controlPr defaultSize="0" autoFill="0" autoLine="0" autoPict="0">
                <anchor moveWithCells="1">
                  <from>
                    <xdr:col>27</xdr:col>
                    <xdr:colOff>47625</xdr:colOff>
                    <xdr:row>66</xdr:row>
                    <xdr:rowOff>38100</xdr:rowOff>
                  </from>
                  <to>
                    <xdr:col>27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5" r:id="rId1480" name="Check Box 1479">
              <controlPr defaultSize="0" autoFill="0" autoLine="0" autoPict="0">
                <anchor moveWithCells="1">
                  <from>
                    <xdr:col>28</xdr:col>
                    <xdr:colOff>47625</xdr:colOff>
                    <xdr:row>66</xdr:row>
                    <xdr:rowOff>38100</xdr:rowOff>
                  </from>
                  <to>
                    <xdr:col>28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6" r:id="rId1481" name="Check Box 1480">
              <controlPr defaultSize="0" autoFill="0" autoLine="0" autoPict="0">
                <anchor moveWithCells="1">
                  <from>
                    <xdr:col>29</xdr:col>
                    <xdr:colOff>47625</xdr:colOff>
                    <xdr:row>66</xdr:row>
                    <xdr:rowOff>38100</xdr:rowOff>
                  </from>
                  <to>
                    <xdr:col>29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7" r:id="rId1482" name="Check Box 1481">
              <controlPr defaultSize="0" autoFill="0" autoLine="0" autoPict="0">
                <anchor moveWithCells="1">
                  <from>
                    <xdr:col>30</xdr:col>
                    <xdr:colOff>47625</xdr:colOff>
                    <xdr:row>66</xdr:row>
                    <xdr:rowOff>38100</xdr:rowOff>
                  </from>
                  <to>
                    <xdr:col>30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8" r:id="rId1483" name="Check Box 1482">
              <controlPr defaultSize="0" autoFill="0" autoLine="0" autoPict="0">
                <anchor moveWithCells="1">
                  <from>
                    <xdr:col>31</xdr:col>
                    <xdr:colOff>47625</xdr:colOff>
                    <xdr:row>66</xdr:row>
                    <xdr:rowOff>38100</xdr:rowOff>
                  </from>
                  <to>
                    <xdr:col>31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9" r:id="rId1484" name="Check Box 1483">
              <controlPr defaultSize="0" autoFill="0" autoLine="0" autoPict="0">
                <anchor moveWithCells="1">
                  <from>
                    <xdr:col>32</xdr:col>
                    <xdr:colOff>47625</xdr:colOff>
                    <xdr:row>66</xdr:row>
                    <xdr:rowOff>38100</xdr:rowOff>
                  </from>
                  <to>
                    <xdr:col>32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0" r:id="rId1485" name="Check Box 1484">
              <controlPr defaultSize="0" autoFill="0" autoLine="0" autoPict="0">
                <anchor moveWithCells="1">
                  <from>
                    <xdr:col>33</xdr:col>
                    <xdr:colOff>47625</xdr:colOff>
                    <xdr:row>66</xdr:row>
                    <xdr:rowOff>38100</xdr:rowOff>
                  </from>
                  <to>
                    <xdr:col>33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1" r:id="rId1486" name="Check Box 1485">
              <controlPr defaultSize="0" autoFill="0" autoLine="0" autoPict="0">
                <anchor moveWithCells="1">
                  <from>
                    <xdr:col>34</xdr:col>
                    <xdr:colOff>47625</xdr:colOff>
                    <xdr:row>66</xdr:row>
                    <xdr:rowOff>38100</xdr:rowOff>
                  </from>
                  <to>
                    <xdr:col>34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2" r:id="rId1487" name="Check Box 1486">
              <controlPr defaultSize="0" autoFill="0" autoLine="0" autoPict="0">
                <anchor moveWithCells="1">
                  <from>
                    <xdr:col>35</xdr:col>
                    <xdr:colOff>47625</xdr:colOff>
                    <xdr:row>66</xdr:row>
                    <xdr:rowOff>38100</xdr:rowOff>
                  </from>
                  <to>
                    <xdr:col>35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3" r:id="rId1488" name="Check Box 1487">
              <controlPr defaultSize="0" autoFill="0" autoLine="0" autoPict="0">
                <anchor moveWithCells="1">
                  <from>
                    <xdr:col>36</xdr:col>
                    <xdr:colOff>47625</xdr:colOff>
                    <xdr:row>66</xdr:row>
                    <xdr:rowOff>38100</xdr:rowOff>
                  </from>
                  <to>
                    <xdr:col>36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4" r:id="rId1489" name="Check Box 1488">
              <controlPr defaultSize="0" autoFill="0" autoLine="0" autoPict="0">
                <anchor moveWithCells="1">
                  <from>
                    <xdr:col>37</xdr:col>
                    <xdr:colOff>47625</xdr:colOff>
                    <xdr:row>66</xdr:row>
                    <xdr:rowOff>38100</xdr:rowOff>
                  </from>
                  <to>
                    <xdr:col>37</xdr:col>
                    <xdr:colOff>342900</xdr:colOff>
                    <xdr:row>66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5" r:id="rId1490" name="Check Box 1489">
              <controlPr defaultSize="0" autoFill="0" autoLine="0" autoPict="0">
                <anchor moveWithCells="1">
                  <from>
                    <xdr:col>7</xdr:col>
                    <xdr:colOff>47625</xdr:colOff>
                    <xdr:row>67</xdr:row>
                    <xdr:rowOff>38100</xdr:rowOff>
                  </from>
                  <to>
                    <xdr:col>7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6" r:id="rId1491" name="Check Box 1490">
              <controlPr defaultSize="0" autoFill="0" autoLine="0" autoPict="0">
                <anchor moveWithCells="1">
                  <from>
                    <xdr:col>8</xdr:col>
                    <xdr:colOff>47625</xdr:colOff>
                    <xdr:row>67</xdr:row>
                    <xdr:rowOff>38100</xdr:rowOff>
                  </from>
                  <to>
                    <xdr:col>8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7" r:id="rId1492" name="Check Box 1491">
              <controlPr defaultSize="0" autoFill="0" autoLine="0" autoPict="0">
                <anchor moveWithCells="1">
                  <from>
                    <xdr:col>9</xdr:col>
                    <xdr:colOff>47625</xdr:colOff>
                    <xdr:row>67</xdr:row>
                    <xdr:rowOff>38100</xdr:rowOff>
                  </from>
                  <to>
                    <xdr:col>9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8" r:id="rId1493" name="Check Box 1492">
              <controlPr defaultSize="0" autoFill="0" autoLine="0" autoPict="0">
                <anchor moveWithCells="1">
                  <from>
                    <xdr:col>10</xdr:col>
                    <xdr:colOff>47625</xdr:colOff>
                    <xdr:row>67</xdr:row>
                    <xdr:rowOff>38100</xdr:rowOff>
                  </from>
                  <to>
                    <xdr:col>10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9" r:id="rId1494" name="Check Box 1493">
              <controlPr defaultSize="0" autoFill="0" autoLine="0" autoPict="0">
                <anchor moveWithCells="1">
                  <from>
                    <xdr:col>11</xdr:col>
                    <xdr:colOff>47625</xdr:colOff>
                    <xdr:row>67</xdr:row>
                    <xdr:rowOff>38100</xdr:rowOff>
                  </from>
                  <to>
                    <xdr:col>11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0" r:id="rId1495" name="Check Box 1494">
              <controlPr defaultSize="0" autoFill="0" autoLine="0" autoPict="0">
                <anchor moveWithCells="1">
                  <from>
                    <xdr:col>12</xdr:col>
                    <xdr:colOff>47625</xdr:colOff>
                    <xdr:row>67</xdr:row>
                    <xdr:rowOff>38100</xdr:rowOff>
                  </from>
                  <to>
                    <xdr:col>12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1" r:id="rId1496" name="Check Box 1495">
              <controlPr defaultSize="0" autoFill="0" autoLine="0" autoPict="0">
                <anchor moveWithCells="1">
                  <from>
                    <xdr:col>13</xdr:col>
                    <xdr:colOff>47625</xdr:colOff>
                    <xdr:row>67</xdr:row>
                    <xdr:rowOff>38100</xdr:rowOff>
                  </from>
                  <to>
                    <xdr:col>13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2" r:id="rId1497" name="Check Box 1496">
              <controlPr defaultSize="0" autoFill="0" autoLine="0" autoPict="0">
                <anchor moveWithCells="1">
                  <from>
                    <xdr:col>14</xdr:col>
                    <xdr:colOff>47625</xdr:colOff>
                    <xdr:row>67</xdr:row>
                    <xdr:rowOff>38100</xdr:rowOff>
                  </from>
                  <to>
                    <xdr:col>14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3" r:id="rId1498" name="Check Box 1497">
              <controlPr defaultSize="0" autoFill="0" autoLine="0" autoPict="0">
                <anchor moveWithCells="1">
                  <from>
                    <xdr:col>15</xdr:col>
                    <xdr:colOff>47625</xdr:colOff>
                    <xdr:row>67</xdr:row>
                    <xdr:rowOff>38100</xdr:rowOff>
                  </from>
                  <to>
                    <xdr:col>15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4" r:id="rId1499" name="Check Box 1498">
              <controlPr defaultSize="0" autoFill="0" autoLine="0" autoPict="0">
                <anchor moveWithCells="1">
                  <from>
                    <xdr:col>16</xdr:col>
                    <xdr:colOff>47625</xdr:colOff>
                    <xdr:row>67</xdr:row>
                    <xdr:rowOff>38100</xdr:rowOff>
                  </from>
                  <to>
                    <xdr:col>16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5" r:id="rId1500" name="Check Box 1499">
              <controlPr defaultSize="0" autoFill="0" autoLine="0" autoPict="0">
                <anchor moveWithCells="1">
                  <from>
                    <xdr:col>17</xdr:col>
                    <xdr:colOff>47625</xdr:colOff>
                    <xdr:row>67</xdr:row>
                    <xdr:rowOff>38100</xdr:rowOff>
                  </from>
                  <to>
                    <xdr:col>17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6" r:id="rId1501" name="Check Box 1500">
              <controlPr defaultSize="0" autoFill="0" autoLine="0" autoPict="0">
                <anchor moveWithCells="1">
                  <from>
                    <xdr:col>18</xdr:col>
                    <xdr:colOff>47625</xdr:colOff>
                    <xdr:row>67</xdr:row>
                    <xdr:rowOff>38100</xdr:rowOff>
                  </from>
                  <to>
                    <xdr:col>18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7" r:id="rId1502" name="Check Box 1501">
              <controlPr defaultSize="0" autoFill="0" autoLine="0" autoPict="0">
                <anchor moveWithCells="1">
                  <from>
                    <xdr:col>19</xdr:col>
                    <xdr:colOff>47625</xdr:colOff>
                    <xdr:row>67</xdr:row>
                    <xdr:rowOff>38100</xdr:rowOff>
                  </from>
                  <to>
                    <xdr:col>19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8" r:id="rId1503" name="Check Box 1502">
              <controlPr defaultSize="0" autoFill="0" autoLine="0" autoPict="0">
                <anchor moveWithCells="1">
                  <from>
                    <xdr:col>20</xdr:col>
                    <xdr:colOff>47625</xdr:colOff>
                    <xdr:row>67</xdr:row>
                    <xdr:rowOff>38100</xdr:rowOff>
                  </from>
                  <to>
                    <xdr:col>20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9" r:id="rId1504" name="Check Box 1503">
              <controlPr defaultSize="0" autoFill="0" autoLine="0" autoPict="0">
                <anchor moveWithCells="1">
                  <from>
                    <xdr:col>21</xdr:col>
                    <xdr:colOff>47625</xdr:colOff>
                    <xdr:row>67</xdr:row>
                    <xdr:rowOff>38100</xdr:rowOff>
                  </from>
                  <to>
                    <xdr:col>21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0" r:id="rId1505" name="Check Box 1504">
              <controlPr defaultSize="0" autoFill="0" autoLine="0" autoPict="0">
                <anchor moveWithCells="1">
                  <from>
                    <xdr:col>22</xdr:col>
                    <xdr:colOff>47625</xdr:colOff>
                    <xdr:row>67</xdr:row>
                    <xdr:rowOff>38100</xdr:rowOff>
                  </from>
                  <to>
                    <xdr:col>22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" r:id="rId1506" name="Check Box 1505">
              <controlPr defaultSize="0" autoFill="0" autoLine="0" autoPict="0">
                <anchor moveWithCells="1">
                  <from>
                    <xdr:col>23</xdr:col>
                    <xdr:colOff>47625</xdr:colOff>
                    <xdr:row>67</xdr:row>
                    <xdr:rowOff>38100</xdr:rowOff>
                  </from>
                  <to>
                    <xdr:col>23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2" r:id="rId1507" name="Check Box 1506">
              <controlPr defaultSize="0" autoFill="0" autoLine="0" autoPict="0">
                <anchor moveWithCells="1">
                  <from>
                    <xdr:col>24</xdr:col>
                    <xdr:colOff>47625</xdr:colOff>
                    <xdr:row>67</xdr:row>
                    <xdr:rowOff>38100</xdr:rowOff>
                  </from>
                  <to>
                    <xdr:col>24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3" r:id="rId1508" name="Check Box 1507">
              <controlPr defaultSize="0" autoFill="0" autoLine="0" autoPict="0">
                <anchor moveWithCells="1">
                  <from>
                    <xdr:col>25</xdr:col>
                    <xdr:colOff>47625</xdr:colOff>
                    <xdr:row>67</xdr:row>
                    <xdr:rowOff>38100</xdr:rowOff>
                  </from>
                  <to>
                    <xdr:col>25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4" r:id="rId1509" name="Check Box 1508">
              <controlPr defaultSize="0" autoFill="0" autoLine="0" autoPict="0">
                <anchor moveWithCells="1">
                  <from>
                    <xdr:col>26</xdr:col>
                    <xdr:colOff>47625</xdr:colOff>
                    <xdr:row>67</xdr:row>
                    <xdr:rowOff>38100</xdr:rowOff>
                  </from>
                  <to>
                    <xdr:col>26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5" r:id="rId1510" name="Check Box 1509">
              <controlPr defaultSize="0" autoFill="0" autoLine="0" autoPict="0">
                <anchor moveWithCells="1">
                  <from>
                    <xdr:col>27</xdr:col>
                    <xdr:colOff>47625</xdr:colOff>
                    <xdr:row>67</xdr:row>
                    <xdr:rowOff>38100</xdr:rowOff>
                  </from>
                  <to>
                    <xdr:col>27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6" r:id="rId1511" name="Check Box 1510">
              <controlPr defaultSize="0" autoFill="0" autoLine="0" autoPict="0">
                <anchor moveWithCells="1">
                  <from>
                    <xdr:col>28</xdr:col>
                    <xdr:colOff>47625</xdr:colOff>
                    <xdr:row>67</xdr:row>
                    <xdr:rowOff>38100</xdr:rowOff>
                  </from>
                  <to>
                    <xdr:col>28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7" r:id="rId1512" name="Check Box 1511">
              <controlPr defaultSize="0" autoFill="0" autoLine="0" autoPict="0">
                <anchor moveWithCells="1">
                  <from>
                    <xdr:col>29</xdr:col>
                    <xdr:colOff>47625</xdr:colOff>
                    <xdr:row>67</xdr:row>
                    <xdr:rowOff>38100</xdr:rowOff>
                  </from>
                  <to>
                    <xdr:col>29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8" r:id="rId1513" name="Check Box 1512">
              <controlPr defaultSize="0" autoFill="0" autoLine="0" autoPict="0">
                <anchor moveWithCells="1">
                  <from>
                    <xdr:col>30</xdr:col>
                    <xdr:colOff>47625</xdr:colOff>
                    <xdr:row>67</xdr:row>
                    <xdr:rowOff>38100</xdr:rowOff>
                  </from>
                  <to>
                    <xdr:col>30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9" r:id="rId1514" name="Check Box 1513">
              <controlPr defaultSize="0" autoFill="0" autoLine="0" autoPict="0">
                <anchor moveWithCells="1">
                  <from>
                    <xdr:col>31</xdr:col>
                    <xdr:colOff>47625</xdr:colOff>
                    <xdr:row>67</xdr:row>
                    <xdr:rowOff>38100</xdr:rowOff>
                  </from>
                  <to>
                    <xdr:col>31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0" r:id="rId1515" name="Check Box 1514">
              <controlPr defaultSize="0" autoFill="0" autoLine="0" autoPict="0">
                <anchor moveWithCells="1">
                  <from>
                    <xdr:col>32</xdr:col>
                    <xdr:colOff>47625</xdr:colOff>
                    <xdr:row>67</xdr:row>
                    <xdr:rowOff>38100</xdr:rowOff>
                  </from>
                  <to>
                    <xdr:col>32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1" r:id="rId1516" name="Check Box 1515">
              <controlPr defaultSize="0" autoFill="0" autoLine="0" autoPict="0">
                <anchor moveWithCells="1">
                  <from>
                    <xdr:col>33</xdr:col>
                    <xdr:colOff>47625</xdr:colOff>
                    <xdr:row>67</xdr:row>
                    <xdr:rowOff>38100</xdr:rowOff>
                  </from>
                  <to>
                    <xdr:col>33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2" r:id="rId1517" name="Check Box 1516">
              <controlPr defaultSize="0" autoFill="0" autoLine="0" autoPict="0">
                <anchor moveWithCells="1">
                  <from>
                    <xdr:col>34</xdr:col>
                    <xdr:colOff>47625</xdr:colOff>
                    <xdr:row>67</xdr:row>
                    <xdr:rowOff>38100</xdr:rowOff>
                  </from>
                  <to>
                    <xdr:col>34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3" r:id="rId1518" name="Check Box 1517">
              <controlPr defaultSize="0" autoFill="0" autoLine="0" autoPict="0">
                <anchor moveWithCells="1">
                  <from>
                    <xdr:col>35</xdr:col>
                    <xdr:colOff>47625</xdr:colOff>
                    <xdr:row>67</xdr:row>
                    <xdr:rowOff>38100</xdr:rowOff>
                  </from>
                  <to>
                    <xdr:col>35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4" r:id="rId1519" name="Check Box 1518">
              <controlPr defaultSize="0" autoFill="0" autoLine="0" autoPict="0">
                <anchor moveWithCells="1">
                  <from>
                    <xdr:col>36</xdr:col>
                    <xdr:colOff>47625</xdr:colOff>
                    <xdr:row>67</xdr:row>
                    <xdr:rowOff>38100</xdr:rowOff>
                  </from>
                  <to>
                    <xdr:col>36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5" r:id="rId1520" name="Check Box 1519">
              <controlPr defaultSize="0" autoFill="0" autoLine="0" autoPict="0">
                <anchor moveWithCells="1">
                  <from>
                    <xdr:col>37</xdr:col>
                    <xdr:colOff>47625</xdr:colOff>
                    <xdr:row>67</xdr:row>
                    <xdr:rowOff>38100</xdr:rowOff>
                  </from>
                  <to>
                    <xdr:col>37</xdr:col>
                    <xdr:colOff>342900</xdr:colOff>
                    <xdr:row>67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6" r:id="rId1521" name="Check Box 1520">
              <controlPr defaultSize="0" autoFill="0" autoLine="0" autoPict="0">
                <anchor moveWithCells="1">
                  <from>
                    <xdr:col>7</xdr:col>
                    <xdr:colOff>47625</xdr:colOff>
                    <xdr:row>68</xdr:row>
                    <xdr:rowOff>38100</xdr:rowOff>
                  </from>
                  <to>
                    <xdr:col>7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7" r:id="rId1522" name="Check Box 1521">
              <controlPr defaultSize="0" autoFill="0" autoLine="0" autoPict="0">
                <anchor moveWithCells="1">
                  <from>
                    <xdr:col>8</xdr:col>
                    <xdr:colOff>47625</xdr:colOff>
                    <xdr:row>68</xdr:row>
                    <xdr:rowOff>38100</xdr:rowOff>
                  </from>
                  <to>
                    <xdr:col>8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8" r:id="rId1523" name="Check Box 1522">
              <controlPr defaultSize="0" autoFill="0" autoLine="0" autoPict="0">
                <anchor moveWithCells="1">
                  <from>
                    <xdr:col>9</xdr:col>
                    <xdr:colOff>47625</xdr:colOff>
                    <xdr:row>68</xdr:row>
                    <xdr:rowOff>38100</xdr:rowOff>
                  </from>
                  <to>
                    <xdr:col>9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9" r:id="rId1524" name="Check Box 1523">
              <controlPr defaultSize="0" autoFill="0" autoLine="0" autoPict="0">
                <anchor moveWithCells="1">
                  <from>
                    <xdr:col>10</xdr:col>
                    <xdr:colOff>47625</xdr:colOff>
                    <xdr:row>68</xdr:row>
                    <xdr:rowOff>38100</xdr:rowOff>
                  </from>
                  <to>
                    <xdr:col>10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0" r:id="rId1525" name="Check Box 1524">
              <controlPr defaultSize="0" autoFill="0" autoLine="0" autoPict="0">
                <anchor moveWithCells="1">
                  <from>
                    <xdr:col>11</xdr:col>
                    <xdr:colOff>47625</xdr:colOff>
                    <xdr:row>68</xdr:row>
                    <xdr:rowOff>38100</xdr:rowOff>
                  </from>
                  <to>
                    <xdr:col>11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" r:id="rId1526" name="Check Box 1525">
              <controlPr defaultSize="0" autoFill="0" autoLine="0" autoPict="0">
                <anchor moveWithCells="1">
                  <from>
                    <xdr:col>12</xdr:col>
                    <xdr:colOff>47625</xdr:colOff>
                    <xdr:row>68</xdr:row>
                    <xdr:rowOff>38100</xdr:rowOff>
                  </from>
                  <to>
                    <xdr:col>12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2" r:id="rId1527" name="Check Box 1526">
              <controlPr defaultSize="0" autoFill="0" autoLine="0" autoPict="0">
                <anchor moveWithCells="1">
                  <from>
                    <xdr:col>13</xdr:col>
                    <xdr:colOff>47625</xdr:colOff>
                    <xdr:row>68</xdr:row>
                    <xdr:rowOff>38100</xdr:rowOff>
                  </from>
                  <to>
                    <xdr:col>13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3" r:id="rId1528" name="Check Box 1527">
              <controlPr defaultSize="0" autoFill="0" autoLine="0" autoPict="0">
                <anchor moveWithCells="1">
                  <from>
                    <xdr:col>14</xdr:col>
                    <xdr:colOff>47625</xdr:colOff>
                    <xdr:row>68</xdr:row>
                    <xdr:rowOff>38100</xdr:rowOff>
                  </from>
                  <to>
                    <xdr:col>14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4" r:id="rId1529" name="Check Box 1528">
              <controlPr defaultSize="0" autoFill="0" autoLine="0" autoPict="0">
                <anchor moveWithCells="1">
                  <from>
                    <xdr:col>15</xdr:col>
                    <xdr:colOff>47625</xdr:colOff>
                    <xdr:row>68</xdr:row>
                    <xdr:rowOff>38100</xdr:rowOff>
                  </from>
                  <to>
                    <xdr:col>15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5" r:id="rId1530" name="Check Box 1529">
              <controlPr defaultSize="0" autoFill="0" autoLine="0" autoPict="0">
                <anchor moveWithCells="1">
                  <from>
                    <xdr:col>16</xdr:col>
                    <xdr:colOff>47625</xdr:colOff>
                    <xdr:row>68</xdr:row>
                    <xdr:rowOff>38100</xdr:rowOff>
                  </from>
                  <to>
                    <xdr:col>16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6" r:id="rId1531" name="Check Box 1530">
              <controlPr defaultSize="0" autoFill="0" autoLine="0" autoPict="0">
                <anchor moveWithCells="1">
                  <from>
                    <xdr:col>17</xdr:col>
                    <xdr:colOff>47625</xdr:colOff>
                    <xdr:row>68</xdr:row>
                    <xdr:rowOff>38100</xdr:rowOff>
                  </from>
                  <to>
                    <xdr:col>17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7" r:id="rId1532" name="Check Box 1531">
              <controlPr defaultSize="0" autoFill="0" autoLine="0" autoPict="0">
                <anchor moveWithCells="1">
                  <from>
                    <xdr:col>18</xdr:col>
                    <xdr:colOff>47625</xdr:colOff>
                    <xdr:row>68</xdr:row>
                    <xdr:rowOff>38100</xdr:rowOff>
                  </from>
                  <to>
                    <xdr:col>18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8" r:id="rId1533" name="Check Box 1532">
              <controlPr defaultSize="0" autoFill="0" autoLine="0" autoPict="0">
                <anchor moveWithCells="1">
                  <from>
                    <xdr:col>19</xdr:col>
                    <xdr:colOff>47625</xdr:colOff>
                    <xdr:row>68</xdr:row>
                    <xdr:rowOff>38100</xdr:rowOff>
                  </from>
                  <to>
                    <xdr:col>19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9" r:id="rId1534" name="Check Box 1533">
              <controlPr defaultSize="0" autoFill="0" autoLine="0" autoPict="0">
                <anchor moveWithCells="1">
                  <from>
                    <xdr:col>20</xdr:col>
                    <xdr:colOff>47625</xdr:colOff>
                    <xdr:row>68</xdr:row>
                    <xdr:rowOff>38100</xdr:rowOff>
                  </from>
                  <to>
                    <xdr:col>20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0" r:id="rId1535" name="Check Box 1534">
              <controlPr defaultSize="0" autoFill="0" autoLine="0" autoPict="0">
                <anchor moveWithCells="1">
                  <from>
                    <xdr:col>21</xdr:col>
                    <xdr:colOff>47625</xdr:colOff>
                    <xdr:row>68</xdr:row>
                    <xdr:rowOff>38100</xdr:rowOff>
                  </from>
                  <to>
                    <xdr:col>21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1" r:id="rId1536" name="Check Box 1535">
              <controlPr defaultSize="0" autoFill="0" autoLine="0" autoPict="0">
                <anchor moveWithCells="1">
                  <from>
                    <xdr:col>22</xdr:col>
                    <xdr:colOff>47625</xdr:colOff>
                    <xdr:row>68</xdr:row>
                    <xdr:rowOff>38100</xdr:rowOff>
                  </from>
                  <to>
                    <xdr:col>22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" r:id="rId1537" name="Check Box 1536">
              <controlPr defaultSize="0" autoFill="0" autoLine="0" autoPict="0">
                <anchor moveWithCells="1">
                  <from>
                    <xdr:col>23</xdr:col>
                    <xdr:colOff>47625</xdr:colOff>
                    <xdr:row>68</xdr:row>
                    <xdr:rowOff>38100</xdr:rowOff>
                  </from>
                  <to>
                    <xdr:col>23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" r:id="rId1538" name="Check Box 1537">
              <controlPr defaultSize="0" autoFill="0" autoLine="0" autoPict="0">
                <anchor moveWithCells="1">
                  <from>
                    <xdr:col>24</xdr:col>
                    <xdr:colOff>47625</xdr:colOff>
                    <xdr:row>68</xdr:row>
                    <xdr:rowOff>38100</xdr:rowOff>
                  </from>
                  <to>
                    <xdr:col>24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" r:id="rId1539" name="Check Box 1538">
              <controlPr defaultSize="0" autoFill="0" autoLine="0" autoPict="0">
                <anchor moveWithCells="1">
                  <from>
                    <xdr:col>25</xdr:col>
                    <xdr:colOff>47625</xdr:colOff>
                    <xdr:row>68</xdr:row>
                    <xdr:rowOff>38100</xdr:rowOff>
                  </from>
                  <to>
                    <xdr:col>25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" r:id="rId1540" name="Check Box 1539">
              <controlPr defaultSize="0" autoFill="0" autoLine="0" autoPict="0">
                <anchor moveWithCells="1">
                  <from>
                    <xdr:col>26</xdr:col>
                    <xdr:colOff>47625</xdr:colOff>
                    <xdr:row>68</xdr:row>
                    <xdr:rowOff>38100</xdr:rowOff>
                  </from>
                  <to>
                    <xdr:col>26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" r:id="rId1541" name="Check Box 1540">
              <controlPr defaultSize="0" autoFill="0" autoLine="0" autoPict="0">
                <anchor moveWithCells="1">
                  <from>
                    <xdr:col>27</xdr:col>
                    <xdr:colOff>47625</xdr:colOff>
                    <xdr:row>68</xdr:row>
                    <xdr:rowOff>38100</xdr:rowOff>
                  </from>
                  <to>
                    <xdr:col>27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7" r:id="rId1542" name="Check Box 1541">
              <controlPr defaultSize="0" autoFill="0" autoLine="0" autoPict="0">
                <anchor moveWithCells="1">
                  <from>
                    <xdr:col>28</xdr:col>
                    <xdr:colOff>47625</xdr:colOff>
                    <xdr:row>68</xdr:row>
                    <xdr:rowOff>38100</xdr:rowOff>
                  </from>
                  <to>
                    <xdr:col>28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8" r:id="rId1543" name="Check Box 1542">
              <controlPr defaultSize="0" autoFill="0" autoLine="0" autoPict="0">
                <anchor moveWithCells="1">
                  <from>
                    <xdr:col>29</xdr:col>
                    <xdr:colOff>47625</xdr:colOff>
                    <xdr:row>68</xdr:row>
                    <xdr:rowOff>38100</xdr:rowOff>
                  </from>
                  <to>
                    <xdr:col>29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9" r:id="rId1544" name="Check Box 1543">
              <controlPr defaultSize="0" autoFill="0" autoLine="0" autoPict="0">
                <anchor moveWithCells="1">
                  <from>
                    <xdr:col>30</xdr:col>
                    <xdr:colOff>47625</xdr:colOff>
                    <xdr:row>68</xdr:row>
                    <xdr:rowOff>38100</xdr:rowOff>
                  </from>
                  <to>
                    <xdr:col>30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0" r:id="rId1545" name="Check Box 1544">
              <controlPr defaultSize="0" autoFill="0" autoLine="0" autoPict="0">
                <anchor moveWithCells="1">
                  <from>
                    <xdr:col>31</xdr:col>
                    <xdr:colOff>47625</xdr:colOff>
                    <xdr:row>68</xdr:row>
                    <xdr:rowOff>38100</xdr:rowOff>
                  </from>
                  <to>
                    <xdr:col>31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1" r:id="rId1546" name="Check Box 1545">
              <controlPr defaultSize="0" autoFill="0" autoLine="0" autoPict="0">
                <anchor moveWithCells="1">
                  <from>
                    <xdr:col>32</xdr:col>
                    <xdr:colOff>47625</xdr:colOff>
                    <xdr:row>68</xdr:row>
                    <xdr:rowOff>38100</xdr:rowOff>
                  </from>
                  <to>
                    <xdr:col>32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2" r:id="rId1547" name="Check Box 1546">
              <controlPr defaultSize="0" autoFill="0" autoLine="0" autoPict="0">
                <anchor moveWithCells="1">
                  <from>
                    <xdr:col>33</xdr:col>
                    <xdr:colOff>47625</xdr:colOff>
                    <xdr:row>68</xdr:row>
                    <xdr:rowOff>38100</xdr:rowOff>
                  </from>
                  <to>
                    <xdr:col>33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3" r:id="rId1548" name="Check Box 1547">
              <controlPr defaultSize="0" autoFill="0" autoLine="0" autoPict="0">
                <anchor moveWithCells="1">
                  <from>
                    <xdr:col>34</xdr:col>
                    <xdr:colOff>47625</xdr:colOff>
                    <xdr:row>68</xdr:row>
                    <xdr:rowOff>38100</xdr:rowOff>
                  </from>
                  <to>
                    <xdr:col>34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4" r:id="rId1549" name="Check Box 1548">
              <controlPr defaultSize="0" autoFill="0" autoLine="0" autoPict="0">
                <anchor moveWithCells="1">
                  <from>
                    <xdr:col>35</xdr:col>
                    <xdr:colOff>47625</xdr:colOff>
                    <xdr:row>68</xdr:row>
                    <xdr:rowOff>38100</xdr:rowOff>
                  </from>
                  <to>
                    <xdr:col>35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5" r:id="rId1550" name="Check Box 1549">
              <controlPr defaultSize="0" autoFill="0" autoLine="0" autoPict="0">
                <anchor moveWithCells="1">
                  <from>
                    <xdr:col>36</xdr:col>
                    <xdr:colOff>47625</xdr:colOff>
                    <xdr:row>68</xdr:row>
                    <xdr:rowOff>38100</xdr:rowOff>
                  </from>
                  <to>
                    <xdr:col>36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6" r:id="rId1551" name="Check Box 1550">
              <controlPr defaultSize="0" autoFill="0" autoLine="0" autoPict="0">
                <anchor moveWithCells="1">
                  <from>
                    <xdr:col>37</xdr:col>
                    <xdr:colOff>47625</xdr:colOff>
                    <xdr:row>68</xdr:row>
                    <xdr:rowOff>38100</xdr:rowOff>
                  </from>
                  <to>
                    <xdr:col>37</xdr:col>
                    <xdr:colOff>342900</xdr:colOff>
                    <xdr:row>68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552" name="Check Box 3">
              <controlPr defaultSize="0" autoFill="0" autoLine="0" autoPict="0">
                <anchor moveWithCells="1">
                  <from>
                    <xdr:col>9</xdr:col>
                    <xdr:colOff>47625</xdr:colOff>
                    <xdr:row>19</xdr:row>
                    <xdr:rowOff>38100</xdr:rowOff>
                  </from>
                  <to>
                    <xdr:col>9</xdr:col>
                    <xdr:colOff>342900</xdr:colOff>
                    <xdr:row>19</xdr:row>
                    <xdr:rowOff>266700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593AA7-0028-5BEA-E3E0-8178783C1A47}">
            <x14:dataBar>
              <x14:cfvo type="min"/>
              <x14:cfvo type="max"/>
              <x14:negativeFillColor auto="1"/>
              <x14:axisColor auto="1"/>
            </x14:dataBar>
          </x14:cfRule>
          <xm:sqref>AO20:AO69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Lists!$A$2:$A$13</xm:f>
          </x14:formula1>
          <xm:sqref>C5</xm:sqref>
        </x14:dataValidation>
        <x14:dataValidation type="list" xr:uid="{00000000-0002-0000-0000-000001000000}">
          <x14:formula1>
            <xm:f>Lists!$D$2:$D$9</xm:f>
          </x14:formula1>
          <xm:sqref>E5</xm:sqref>
        </x14:dataValidation>
        <x14:dataValidation type="list" xr:uid="{00000000-0002-0000-0000-000003000000}">
          <x14:formula1>
            <xm:f>Lists!$F$2:$F$4</xm:f>
          </x14:formula1>
          <xm:sqref>C20:C69</xm:sqref>
        </x14:dataValidation>
        <x14:dataValidation type="list" xr:uid="{00000000-0002-0000-0000-000004000000}">
          <x14:formula1>
            <xm:f>Lists!$H$2:$H$8</xm:f>
          </x14:formula1>
          <xm:sqref>D20:D69</xm:sqref>
        </x14:dataValidation>
        <x14:dataValidation type="list" xr:uid="{00000000-0002-0000-0000-000005000000}">
          <x14:formula1>
            <xm:f>Lists!$J$2:$J$4</xm:f>
          </x14:formula1>
          <xm:sqref>E20:E69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E66"/>
  <sheetViews>
    <sheetView workbookViewId="0">
      <selection activeCell="B61" sqref="B61"/>
    </sheetView>
  </sheetViews>
  <sheetFormatPr defaultRowHeight="14.25"/>
  <cols>
    <col min="1" max="72" width="12" customWidth="1"/>
    <col min="79" max="79" width="10.125" bestFit="1" customWidth="1"/>
  </cols>
  <sheetData>
    <row r="1" spans="1:109" ht="1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/>
      <c r="H1" s="1" t="str">
        <f>IF(1&gt;$BA$2,"",DATE($E$5,MATCH($C$5,Lists!$A$2:$A$13,0),1))</f>
        <v/>
      </c>
      <c r="I1" s="1" t="str">
        <f>IF(2&gt;$BA$2,"",DATE($E$5,MATCH($C$5,Lists!$A$2:$A$13,0),2))</f>
        <v/>
      </c>
      <c r="J1" s="1" t="str">
        <f>IF(3&gt;$BA$2,"",DATE($E$5,MATCH($C$5,Lists!$A$2:$A$13,0),3))</f>
        <v/>
      </c>
      <c r="K1" s="1" t="str">
        <f>IF(4&gt;$BA$2,"",DATE($E$5,MATCH($C$5,Lists!$A$2:$A$13,0),4))</f>
        <v/>
      </c>
      <c r="L1" s="1" t="str">
        <f>IF(5&gt;$BA$2,"",DATE($E$5,MATCH($C$5,Lists!$A$2:$A$13,0),5))</f>
        <v/>
      </c>
      <c r="M1" s="1" t="str">
        <f>IF(6&gt;$BA$2,"",DATE($E$5,MATCH($C$5,Lists!$A$2:$A$13,0),6))</f>
        <v/>
      </c>
      <c r="N1" s="1" t="str">
        <f>IF(7&gt;$BA$2,"",DATE($E$5,MATCH($C$5,Lists!$A$2:$A$13,0),7))</f>
        <v/>
      </c>
      <c r="O1" s="1" t="str">
        <f>IF(8&gt;$BA$2,"",DATE($E$5,MATCH($C$5,Lists!$A$2:$A$13,0),8))</f>
        <v/>
      </c>
      <c r="P1" s="1" t="str">
        <f>IF(9&gt;$BA$2,"",DATE($E$5,MATCH($C$5,Lists!$A$2:$A$13,0),9))</f>
        <v/>
      </c>
      <c r="Q1" s="1" t="str">
        <f>IF(10&gt;$BA$2,"",DATE($E$5,MATCH($C$5,Lists!$A$2:$A$13,0),10))</f>
        <v/>
      </c>
      <c r="R1" s="1" t="str">
        <f>IF(11&gt;$BA$2,"",DATE($E$5,MATCH($C$5,Lists!$A$2:$A$13,0),11))</f>
        <v/>
      </c>
      <c r="S1" s="1" t="str">
        <f>IF(12&gt;$BA$2,"",DATE($E$5,MATCH($C$5,Lists!$A$2:$A$13,0),12))</f>
        <v/>
      </c>
      <c r="T1" s="1" t="str">
        <f>IF(13&gt;$BA$2,"",DATE($E$5,MATCH($C$5,Lists!$A$2:$A$13,0),13))</f>
        <v/>
      </c>
      <c r="U1" s="1" t="str">
        <f>IF(14&gt;$BA$2,"",DATE($E$5,MATCH($C$5,Lists!$A$2:$A$13,0),14))</f>
        <v/>
      </c>
      <c r="V1" s="1" t="str">
        <f>IF(15&gt;$BA$2,"",DATE($E$5,MATCH($C$5,Lists!$A$2:$A$13,0),15))</f>
        <v/>
      </c>
      <c r="W1" s="1" t="str">
        <f>IF(16&gt;$BA$2,"",DATE($E$5,MATCH($C$5,Lists!$A$2:$A$13,0),16))</f>
        <v/>
      </c>
      <c r="X1" s="1" t="str">
        <f>IF(17&gt;$BA$2,"",DATE($E$5,MATCH($C$5,Lists!$A$2:$A$13,0),17))</f>
        <v/>
      </c>
      <c r="Y1" s="1" t="str">
        <f>IF(18&gt;$BA$2,"",DATE($E$5,MATCH($C$5,Lists!$A$2:$A$13,0),18))</f>
        <v/>
      </c>
      <c r="Z1" s="1" t="str">
        <f>IF(19&gt;$BA$2,"",DATE($E$5,MATCH($C$5,Lists!$A$2:$A$13,0),19))</f>
        <v/>
      </c>
      <c r="AA1" s="1" t="str">
        <f>IF(20&gt;$BA$2,"",DATE($E$5,MATCH($C$5,Lists!$A$2:$A$13,0),20))</f>
        <v/>
      </c>
      <c r="AB1" s="1" t="str">
        <f>IF(21&gt;$BA$2,"",DATE($E$5,MATCH($C$5,Lists!$A$2:$A$13,0),21))</f>
        <v/>
      </c>
      <c r="AC1" s="1" t="str">
        <f>IF(22&gt;$BA$2,"",DATE($E$5,MATCH($C$5,Lists!$A$2:$A$13,0),22))</f>
        <v/>
      </c>
      <c r="AD1" s="1" t="str">
        <f>IF(23&gt;$BA$2,"",DATE($E$5,MATCH($C$5,Lists!$A$2:$A$13,0),23))</f>
        <v/>
      </c>
      <c r="AE1" s="1" t="str">
        <f>IF(24&gt;$BA$2,"",DATE($E$5,MATCH($C$5,Lists!$A$2:$A$13,0),24))</f>
        <v/>
      </c>
      <c r="AF1" s="1" t="str">
        <f>IF(25&gt;$BA$2,"",DATE($E$5,MATCH($C$5,Lists!$A$2:$A$13,0),25))</f>
        <v/>
      </c>
      <c r="AG1" s="1" t="str">
        <f>IF(26&gt;$BA$2,"",DATE($E$5,MATCH($C$5,Lists!$A$2:$A$13,0),26))</f>
        <v/>
      </c>
      <c r="AH1" s="1" t="str">
        <f>IF(27&gt;$BA$2,"",DATE($E$5,MATCH($C$5,Lists!$A$2:$A$13,0),27))</f>
        <v/>
      </c>
      <c r="AI1" s="1" t="str">
        <f>IF(28&gt;$BA$2,"",DATE($E$5,MATCH($C$5,Lists!$A$2:$A$13,0),28))</f>
        <v/>
      </c>
      <c r="AJ1" s="1" t="str">
        <f>IF(29&gt;$BA$2,"",DATE($E$5,MATCH($C$5,Lists!$A$2:$A$13,0),29))</f>
        <v/>
      </c>
      <c r="AK1" s="1" t="str">
        <f>IF(30&gt;$BA$2,"",DATE($E$5,MATCH($C$5,Lists!$A$2:$A$13,0),30))</f>
        <v/>
      </c>
      <c r="AL1" s="1" t="str">
        <f>IF(31&gt;$BA$2,"",DATE($E$5,MATCH($C$5,Lists!$A$2:$A$13,0),31))</f>
        <v/>
      </c>
      <c r="AM1" s="1" t="str">
        <f>IF(1&gt;$BA$2,"",DATE($E$5,MATCH($C$5,Lists!$A$2:$A$13,0),1))</f>
        <v/>
      </c>
      <c r="AN1" s="1" t="str">
        <f>IF(2&gt;$BA$2,"",DATE($E$5,MATCH($C$5,Lists!$A$2:$A$13,0),2))</f>
        <v/>
      </c>
      <c r="AO1" s="1" t="str">
        <f>IF(3&gt;$BA$2,"",DATE($E$5,MATCH($C$5,Lists!$A$2:$A$13,0),3))</f>
        <v/>
      </c>
      <c r="AP1" s="1" t="str">
        <f>IF(4&gt;$BA$2,"",DATE($E$5,MATCH($C$5,Lists!$A$2:$A$13,0),4))</f>
        <v/>
      </c>
      <c r="AQ1" s="1" t="str">
        <f>IF(5&gt;$BA$2,"",DATE($E$5,MATCH($C$5,Lists!$A$2:$A$13,0),5))</f>
        <v/>
      </c>
      <c r="AR1" s="1" t="str">
        <f>IF(6&gt;$BA$2,"",DATE($E$5,MATCH($C$5,Lists!$A$2:$A$13,0),6))</f>
        <v/>
      </c>
      <c r="AS1" s="1" t="str">
        <f>IF(7&gt;$BA$2,"",DATE($E$5,MATCH($C$5,Lists!$A$2:$A$13,0),7))</f>
        <v/>
      </c>
      <c r="AT1" s="1" t="str">
        <f>IF(8&gt;$BA$2,"",DATE($E$5,MATCH($C$5,Lists!$A$2:$A$13,0),8))</f>
        <v/>
      </c>
      <c r="AU1" s="1" t="str">
        <f>IF(9&gt;$BA$2,"",DATE($E$5,MATCH($C$5,Lists!$A$2:$A$13,0),9))</f>
        <v/>
      </c>
      <c r="AV1" s="1" t="str">
        <f>IF(10&gt;$BA$2,"",DATE($E$5,MATCH($C$5,Lists!$A$2:$A$13,0),10))</f>
        <v/>
      </c>
      <c r="AW1" s="1" t="str">
        <f>IF(11&gt;$BA$2,"",DATE($E$5,MATCH($C$5,Lists!$A$2:$A$13,0),11))</f>
        <v/>
      </c>
      <c r="AX1" s="1" t="str">
        <f>IF(12&gt;$BA$2,"",DATE($E$5,MATCH($C$5,Lists!$A$2:$A$13,0),12))</f>
        <v/>
      </c>
      <c r="AY1" s="1" t="str">
        <f>IF(13&gt;$BA$2,"",DATE($E$5,MATCH($C$5,Lists!$A$2:$A$13,0),13))</f>
        <v/>
      </c>
      <c r="AZ1" s="1" t="str">
        <f>IF(14&gt;$BA$2,"",DATE($E$5,MATCH($C$5,Lists!$A$2:$A$13,0),14))</f>
        <v/>
      </c>
      <c r="BA1" s="1" t="str">
        <f>IF(15&gt;$BA$2,"",DATE($E$5,MATCH($C$5,Lists!$A$2:$A$13,0),15))</f>
        <v/>
      </c>
      <c r="BB1" s="1" t="str">
        <f>IF(16&gt;$BA$2,"",DATE($E$5,MATCH($C$5,Lists!$A$2:$A$13,0),16))</f>
        <v/>
      </c>
      <c r="BC1" s="1" t="str">
        <f>IF(17&gt;$BA$2,"",DATE($E$5,MATCH($C$5,Lists!$A$2:$A$13,0),17))</f>
        <v/>
      </c>
      <c r="BD1" s="1" t="str">
        <f>IF(18&gt;$BA$2,"",DATE($E$5,MATCH($C$5,Lists!$A$2:$A$13,0),18))</f>
        <v/>
      </c>
      <c r="BE1" s="1" t="str">
        <f>IF(19&gt;$BA$2,"",DATE($E$5,MATCH($C$5,Lists!$A$2:$A$13,0),19))</f>
        <v/>
      </c>
      <c r="BF1" s="1" t="str">
        <f>IF(20&gt;$BA$2,"",DATE($E$5,MATCH($C$5,Lists!$A$2:$A$13,0),20))</f>
        <v/>
      </c>
      <c r="BG1" s="1" t="str">
        <f>IF(21&gt;$BA$2,"",DATE($E$5,MATCH($C$5,Lists!$A$2:$A$13,0),21))</f>
        <v/>
      </c>
      <c r="BH1" s="1" t="str">
        <f>IF(22&gt;$BA$2,"",DATE($E$5,MATCH($C$5,Lists!$A$2:$A$13,0),22))</f>
        <v/>
      </c>
      <c r="BI1" s="1" t="str">
        <f>IF(23&gt;$BA$2,"",DATE($E$5,MATCH($C$5,Lists!$A$2:$A$13,0),23))</f>
        <v/>
      </c>
      <c r="BJ1" s="1" t="str">
        <f>IF(24&gt;$BA$2,"",DATE($E$5,MATCH($C$5,Lists!$A$2:$A$13,0),24))</f>
        <v/>
      </c>
      <c r="BK1" s="1" t="str">
        <f>IF(25&gt;$BA$2,"",DATE($E$5,MATCH($C$5,Lists!$A$2:$A$13,0),25))</f>
        <v/>
      </c>
      <c r="BL1" s="1" t="str">
        <f>IF(26&gt;$BA$2,"",DATE($E$5,MATCH($C$5,Lists!$A$2:$A$13,0),26))</f>
        <v/>
      </c>
      <c r="BM1" s="1" t="str">
        <f>IF(27&gt;$BA$2,"",DATE($E$5,MATCH($C$5,Lists!$A$2:$A$13,0),27))</f>
        <v/>
      </c>
      <c r="BN1" s="1" t="str">
        <f>IF(28&gt;$BA$2,"",DATE($E$5,MATCH($C$5,Lists!$A$2:$A$13,0),28))</f>
        <v/>
      </c>
      <c r="BO1" s="1" t="str">
        <f>IF(29&gt;$BA$2,"",DATE($E$5,MATCH($C$5,Lists!$A$2:$A$13,0),29))</f>
        <v/>
      </c>
      <c r="BP1" s="1" t="str">
        <f>IF(30&gt;$BA$2,"",DATE($E$5,MATCH($C$5,Lists!$A$2:$A$13,0),30))</f>
        <v/>
      </c>
      <c r="BQ1" s="1" t="str">
        <f>IF(31&gt;$BA$2,"",DATE($E$5,MATCH($C$5,Lists!$A$2:$A$13,0),31))</f>
        <v/>
      </c>
      <c r="BR1" s="1"/>
      <c r="BS1" s="1"/>
      <c r="BT1" s="1"/>
      <c r="CA1" s="21">
        <f>Dashboard!H16</f>
        <v>46204</v>
      </c>
      <c r="CB1" s="21">
        <f>Dashboard!I16</f>
        <v>46205</v>
      </c>
      <c r="CC1" s="21">
        <f>Dashboard!J16</f>
        <v>46206</v>
      </c>
      <c r="CD1" s="21">
        <f>Dashboard!K16</f>
        <v>46207</v>
      </c>
      <c r="CE1" s="21">
        <f>Dashboard!L16</f>
        <v>46208</v>
      </c>
      <c r="CF1" s="21">
        <f>Dashboard!M16</f>
        <v>46209</v>
      </c>
      <c r="CG1" s="21">
        <f>Dashboard!N16</f>
        <v>46210</v>
      </c>
      <c r="CH1" s="21">
        <f>Dashboard!O16</f>
        <v>46211</v>
      </c>
      <c r="CI1" s="21">
        <f>Dashboard!P16</f>
        <v>46212</v>
      </c>
      <c r="CJ1" s="21">
        <f>Dashboard!Q16</f>
        <v>46213</v>
      </c>
      <c r="CK1" s="21">
        <f>Dashboard!R16</f>
        <v>46214</v>
      </c>
      <c r="CL1" s="21">
        <f>Dashboard!S16</f>
        <v>46215</v>
      </c>
      <c r="CM1" s="21">
        <f>Dashboard!T16</f>
        <v>46216</v>
      </c>
      <c r="CN1" s="21">
        <f>Dashboard!U16</f>
        <v>46217</v>
      </c>
      <c r="CO1" s="21">
        <f>Dashboard!V16</f>
        <v>46218</v>
      </c>
      <c r="CP1" s="21">
        <f>Dashboard!W16</f>
        <v>46219</v>
      </c>
      <c r="CQ1" s="21">
        <f>Dashboard!X16</f>
        <v>46220</v>
      </c>
      <c r="CR1" s="21">
        <f>Dashboard!Y16</f>
        <v>46221</v>
      </c>
      <c r="CS1" s="21">
        <f>Dashboard!Z16</f>
        <v>46222</v>
      </c>
      <c r="CT1" s="21">
        <f>Dashboard!AA16</f>
        <v>46223</v>
      </c>
      <c r="CU1" s="21">
        <f>Dashboard!AB16</f>
        <v>46224</v>
      </c>
      <c r="CV1" s="21">
        <f>Dashboard!AC16</f>
        <v>46225</v>
      </c>
      <c r="CW1" s="21">
        <f>Dashboard!AD16</f>
        <v>46226</v>
      </c>
      <c r="CX1" s="21">
        <f>Dashboard!AE16</f>
        <v>46227</v>
      </c>
      <c r="CY1" s="21">
        <f>Dashboard!AF16</f>
        <v>46228</v>
      </c>
      <c r="CZ1" s="21">
        <f>Dashboard!AG16</f>
        <v>46229</v>
      </c>
      <c r="DA1" s="21">
        <f>Dashboard!AH16</f>
        <v>46230</v>
      </c>
      <c r="DB1" s="21">
        <f>Dashboard!AI16</f>
        <v>46231</v>
      </c>
      <c r="DC1" s="21">
        <f>Dashboard!AJ16</f>
        <v>46232</v>
      </c>
      <c r="DD1" s="21">
        <f>Dashboard!AK16</f>
        <v>46233</v>
      </c>
      <c r="DE1" s="21">
        <f>Dashboard!AL16</f>
        <v>46234</v>
      </c>
    </row>
    <row r="2" spans="1:109">
      <c r="A2" t="str">
        <f>Dashboard!B20</f>
        <v>Exercise</v>
      </c>
      <c r="B2" t="str">
        <f>Dashboard!C20</f>
        <v>High</v>
      </c>
      <c r="C2" t="str">
        <f>Dashboard!D20</f>
        <v>Health</v>
      </c>
      <c r="D2" t="str">
        <f>Dashboard!E20</f>
        <v>Weekly</v>
      </c>
      <c r="E2">
        <f>Dashboard!F20</f>
        <v>25</v>
      </c>
      <c r="F2" t="str">
        <f>Dashboard!G20</f>
        <v>Morning walk or workout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>
        <f t="shared" ref="AM2:AM33" si="0">IF(H2=TRUE,1,0)</f>
        <v>0</v>
      </c>
      <c r="AN2">
        <f t="shared" ref="AN2:AN33" si="1">IF(I2=TRUE,1,0)</f>
        <v>0</v>
      </c>
      <c r="AO2">
        <f t="shared" ref="AO2:AO33" si="2">IF(J2=TRUE,1,0)</f>
        <v>0</v>
      </c>
      <c r="AP2">
        <f t="shared" ref="AP2:AP33" si="3">IF(K2=TRUE,1,0)</f>
        <v>1</v>
      </c>
      <c r="AQ2">
        <f t="shared" ref="AQ2:AQ33" si="4">IF(L2=TRUE,1,0)</f>
        <v>0</v>
      </c>
      <c r="AR2">
        <f t="shared" ref="AR2:AR33" si="5">IF(M2=TRUE,1,0)</f>
        <v>0</v>
      </c>
      <c r="AS2">
        <f t="shared" ref="AS2:AS33" si="6">IF(N2=TRUE,1,0)</f>
        <v>0</v>
      </c>
      <c r="AT2">
        <f t="shared" ref="AT2:AT33" si="7">IF(O2=TRUE,1,0)</f>
        <v>0</v>
      </c>
      <c r="AU2">
        <f t="shared" ref="AU2:AU33" si="8">IF(P2=TRUE,1,0)</f>
        <v>0</v>
      </c>
      <c r="AV2">
        <f t="shared" ref="AV2:AV33" si="9">IF(Q2=TRUE,1,0)</f>
        <v>0</v>
      </c>
      <c r="AW2">
        <f t="shared" ref="AW2:AW33" si="10">IF(R2=TRUE,1,0)</f>
        <v>0</v>
      </c>
      <c r="AX2">
        <f t="shared" ref="AX2:AX33" si="11">IF(S2=TRUE,1,0)</f>
        <v>0</v>
      </c>
      <c r="AY2">
        <f t="shared" ref="AY2:AY33" si="12">IF(T2=TRUE,1,0)</f>
        <v>0</v>
      </c>
      <c r="AZ2">
        <f t="shared" ref="AZ2:AZ33" si="13">IF(U2=TRUE,1,0)</f>
        <v>0</v>
      </c>
      <c r="BA2">
        <f t="shared" ref="BA2:BA33" si="14">IF(V2=TRUE,1,0)</f>
        <v>0</v>
      </c>
      <c r="BB2">
        <f t="shared" ref="BB2:BB33" si="15">IF(W2=TRUE,1,0)</f>
        <v>0</v>
      </c>
      <c r="BC2">
        <f t="shared" ref="BC2:BC33" si="16">IF(X2=TRUE,1,0)</f>
        <v>0</v>
      </c>
      <c r="BD2">
        <f t="shared" ref="BD2:BD33" si="17">IF(Y2=TRUE,1,0)</f>
        <v>0</v>
      </c>
      <c r="BE2">
        <f t="shared" ref="BE2:BE33" si="18">IF(Z2=TRUE,1,0)</f>
        <v>0</v>
      </c>
      <c r="BF2">
        <f t="shared" ref="BF2:BF33" si="19">IF(AA2=TRUE,1,0)</f>
        <v>0</v>
      </c>
      <c r="BG2">
        <f t="shared" ref="BG2:BG33" si="20">IF(AB2=TRUE,1,0)</f>
        <v>0</v>
      </c>
      <c r="BH2">
        <f t="shared" ref="BH2:BH33" si="21">IF(AC2=TRUE,1,0)</f>
        <v>0</v>
      </c>
      <c r="BI2">
        <f t="shared" ref="BI2:BI33" si="22">IF(AD2=TRUE,1,0)</f>
        <v>0</v>
      </c>
      <c r="BJ2">
        <f t="shared" ref="BJ2:BJ33" si="23">IF(AE2=TRUE,1,0)</f>
        <v>0</v>
      </c>
      <c r="BK2">
        <f t="shared" ref="BK2:BK33" si="24">IF(AF2=TRUE,1,0)</f>
        <v>0</v>
      </c>
      <c r="BL2">
        <f t="shared" ref="BL2:BL33" si="25">IF(AG2=TRUE,1,0)</f>
        <v>0</v>
      </c>
      <c r="BM2">
        <f t="shared" ref="BM2:BM33" si="26">IF(AH2=TRUE,1,0)</f>
        <v>0</v>
      </c>
      <c r="BN2">
        <f t="shared" ref="BN2:BN33" si="27">IF(AI2=TRUE,1,0)</f>
        <v>0</v>
      </c>
      <c r="BO2">
        <f t="shared" ref="BO2:BO33" si="28">IF(AJ2=TRUE,1,0)</f>
        <v>0</v>
      </c>
      <c r="BP2">
        <f t="shared" ref="BP2:BP33" si="29">IF(AK2=TRUE,1,0)</f>
        <v>0</v>
      </c>
      <c r="BQ2">
        <f t="shared" ref="BQ2:BQ33" si="30">IF(AL2=TRUE,1,0)</f>
        <v>0</v>
      </c>
      <c r="BT2" cm="1">
        <f t="array" ref="BT2">IF(A2="","",MAX(FREQUENCY(IF(AM2:BQ2=1,COLUMN(AM2:BQ2)),IF(AM2:BQ2=0,COLUMN(AM2:BQ2)))))</f>
        <v>1</v>
      </c>
      <c r="CA2">
        <f t="shared" ref="CA2:DE2" si="31">SUM(AM2:AM51)</f>
        <v>0</v>
      </c>
      <c r="CB2">
        <f t="shared" si="31"/>
        <v>0</v>
      </c>
      <c r="CC2">
        <f t="shared" si="31"/>
        <v>0</v>
      </c>
      <c r="CD2">
        <f t="shared" si="31"/>
        <v>4</v>
      </c>
      <c r="CE2">
        <f t="shared" si="31"/>
        <v>1</v>
      </c>
      <c r="CF2">
        <f t="shared" si="31"/>
        <v>0</v>
      </c>
      <c r="CG2">
        <f t="shared" si="31"/>
        <v>0</v>
      </c>
      <c r="CH2">
        <f t="shared" si="31"/>
        <v>0</v>
      </c>
      <c r="CI2">
        <f t="shared" si="31"/>
        <v>0</v>
      </c>
      <c r="CJ2">
        <f t="shared" si="31"/>
        <v>0</v>
      </c>
      <c r="CK2">
        <f t="shared" si="31"/>
        <v>0</v>
      </c>
      <c r="CL2">
        <f t="shared" si="31"/>
        <v>0</v>
      </c>
      <c r="CM2">
        <f t="shared" si="31"/>
        <v>0</v>
      </c>
      <c r="CN2">
        <f t="shared" si="31"/>
        <v>0</v>
      </c>
      <c r="CO2">
        <f t="shared" si="31"/>
        <v>0</v>
      </c>
      <c r="CP2">
        <f t="shared" si="31"/>
        <v>0</v>
      </c>
      <c r="CQ2">
        <f t="shared" si="31"/>
        <v>0</v>
      </c>
      <c r="CR2">
        <f t="shared" si="31"/>
        <v>0</v>
      </c>
      <c r="CS2">
        <f t="shared" si="31"/>
        <v>0</v>
      </c>
      <c r="CT2">
        <f t="shared" si="31"/>
        <v>0</v>
      </c>
      <c r="CU2">
        <f t="shared" si="31"/>
        <v>0</v>
      </c>
      <c r="CV2">
        <f t="shared" si="31"/>
        <v>0</v>
      </c>
      <c r="CW2">
        <f t="shared" si="31"/>
        <v>0</v>
      </c>
      <c r="CX2">
        <f t="shared" si="31"/>
        <v>0</v>
      </c>
      <c r="CY2">
        <f t="shared" si="31"/>
        <v>0</v>
      </c>
      <c r="CZ2">
        <f t="shared" si="31"/>
        <v>0</v>
      </c>
      <c r="DA2">
        <f t="shared" si="31"/>
        <v>0</v>
      </c>
      <c r="DB2">
        <f t="shared" si="31"/>
        <v>0</v>
      </c>
      <c r="DC2">
        <f t="shared" si="31"/>
        <v>0</v>
      </c>
      <c r="DD2">
        <f t="shared" si="31"/>
        <v>0</v>
      </c>
      <c r="DE2">
        <f t="shared" si="31"/>
        <v>0</v>
      </c>
    </row>
    <row r="3" spans="1:109">
      <c r="A3" t="str">
        <f>Dashboard!B21</f>
        <v>Study</v>
      </c>
      <c r="B3" t="str">
        <f>Dashboard!C21</f>
        <v>High</v>
      </c>
      <c r="C3" t="str">
        <f>Dashboard!D21</f>
        <v>Study</v>
      </c>
      <c r="D3" t="str">
        <f>Dashboard!E21</f>
        <v>Daily</v>
      </c>
      <c r="E3">
        <f>Dashboard!F21</f>
        <v>20</v>
      </c>
      <c r="F3" t="str">
        <f>Dashboard!G21</f>
        <v>Interview practice</v>
      </c>
      <c r="H3" t="b">
        <v>0</v>
      </c>
      <c r="I3" t="b">
        <v>0</v>
      </c>
      <c r="J3" t="b">
        <v>0</v>
      </c>
      <c r="K3" t="b">
        <v>1</v>
      </c>
      <c r="L3" t="b">
        <v>1</v>
      </c>
      <c r="N3" t="b">
        <v>0</v>
      </c>
      <c r="AM3">
        <f t="shared" si="0"/>
        <v>0</v>
      </c>
      <c r="AN3">
        <f t="shared" si="1"/>
        <v>0</v>
      </c>
      <c r="AO3">
        <f t="shared" si="2"/>
        <v>0</v>
      </c>
      <c r="AP3">
        <f t="shared" si="3"/>
        <v>1</v>
      </c>
      <c r="AQ3">
        <f t="shared" si="4"/>
        <v>1</v>
      </c>
      <c r="AR3">
        <f t="shared" si="5"/>
        <v>0</v>
      </c>
      <c r="AS3">
        <f t="shared" si="6"/>
        <v>0</v>
      </c>
      <c r="AT3">
        <f t="shared" si="7"/>
        <v>0</v>
      </c>
      <c r="AU3">
        <f t="shared" si="8"/>
        <v>0</v>
      </c>
      <c r="AV3">
        <f t="shared" si="9"/>
        <v>0</v>
      </c>
      <c r="AW3">
        <f t="shared" si="10"/>
        <v>0</v>
      </c>
      <c r="AX3">
        <f t="shared" si="11"/>
        <v>0</v>
      </c>
      <c r="AY3">
        <f t="shared" si="12"/>
        <v>0</v>
      </c>
      <c r="AZ3">
        <f t="shared" si="13"/>
        <v>0</v>
      </c>
      <c r="BA3">
        <f t="shared" si="14"/>
        <v>0</v>
      </c>
      <c r="BB3">
        <f t="shared" si="15"/>
        <v>0</v>
      </c>
      <c r="BC3">
        <f t="shared" si="16"/>
        <v>0</v>
      </c>
      <c r="BD3">
        <f t="shared" si="17"/>
        <v>0</v>
      </c>
      <c r="BE3">
        <f t="shared" si="18"/>
        <v>0</v>
      </c>
      <c r="BF3">
        <f t="shared" si="19"/>
        <v>0</v>
      </c>
      <c r="BG3">
        <f t="shared" si="20"/>
        <v>0</v>
      </c>
      <c r="BH3">
        <f t="shared" si="21"/>
        <v>0</v>
      </c>
      <c r="BI3">
        <f t="shared" si="22"/>
        <v>0</v>
      </c>
      <c r="BJ3">
        <f t="shared" si="23"/>
        <v>0</v>
      </c>
      <c r="BK3">
        <f t="shared" si="24"/>
        <v>0</v>
      </c>
      <c r="BL3">
        <f t="shared" si="25"/>
        <v>0</v>
      </c>
      <c r="BM3">
        <f t="shared" si="26"/>
        <v>0</v>
      </c>
      <c r="BN3">
        <f t="shared" si="27"/>
        <v>0</v>
      </c>
      <c r="BO3">
        <f t="shared" si="28"/>
        <v>0</v>
      </c>
      <c r="BP3">
        <f t="shared" si="29"/>
        <v>0</v>
      </c>
      <c r="BQ3">
        <f t="shared" si="30"/>
        <v>0</v>
      </c>
      <c r="BT3" cm="1">
        <f t="array" ref="BT3">IF(A3="","",MAX(FREQUENCY(IF(AM3:BQ3=1,COLUMN(AM3:BQ3)),IF(AM3:BQ3=0,COLUMN(AM3:BQ3)))))</f>
        <v>2</v>
      </c>
      <c r="CA3" s="13">
        <f>IFERROR(CA2/Dashboard!$B$8,0)</f>
        <v>0</v>
      </c>
      <c r="CB3" s="13">
        <f>IFERROR(CB2/Dashboard!$B$8,0)</f>
        <v>0</v>
      </c>
      <c r="CC3" s="13">
        <f>IFERROR(CC2/Dashboard!$B$8,0)</f>
        <v>0</v>
      </c>
      <c r="CD3" s="13">
        <f>IFERROR(CD2/Dashboard!$B$8,0)</f>
        <v>1</v>
      </c>
      <c r="CE3" s="13">
        <f>IFERROR(CE2/Dashboard!$B$8,0)</f>
        <v>0.25</v>
      </c>
      <c r="CF3" s="13">
        <f>IFERROR(CF2/Dashboard!$B$8,0)</f>
        <v>0</v>
      </c>
      <c r="CG3" s="13">
        <f>IFERROR(CG2/Dashboard!$B$8,0)</f>
        <v>0</v>
      </c>
      <c r="CH3" s="13">
        <f>IFERROR(CH2/Dashboard!$B$8,0)</f>
        <v>0</v>
      </c>
      <c r="CI3" s="13">
        <f>IFERROR(CI2/Dashboard!$B$8,0)</f>
        <v>0</v>
      </c>
      <c r="CJ3" s="13">
        <f>IFERROR(CJ2/Dashboard!$B$8,0)</f>
        <v>0</v>
      </c>
      <c r="CK3" s="13">
        <f>IFERROR(CK2/Dashboard!$B$8,0)</f>
        <v>0</v>
      </c>
      <c r="CL3" s="13">
        <f>IFERROR(CL2/Dashboard!$B$8,0)</f>
        <v>0</v>
      </c>
      <c r="CM3" s="13">
        <f>IFERROR(CM2/Dashboard!$B$8,0)</f>
        <v>0</v>
      </c>
      <c r="CN3" s="13">
        <f>IFERROR(CN2/Dashboard!$B$8,0)</f>
        <v>0</v>
      </c>
      <c r="CO3" s="13">
        <f>IFERROR(CO2/Dashboard!$B$8,0)</f>
        <v>0</v>
      </c>
      <c r="CP3" s="13">
        <f>IFERROR(CP2/Dashboard!$B$8,0)</f>
        <v>0</v>
      </c>
      <c r="CQ3" s="13">
        <f>IFERROR(CQ2/Dashboard!$B$8,0)</f>
        <v>0</v>
      </c>
      <c r="CR3" s="13">
        <f>IFERROR(CR2/Dashboard!$B$8,0)</f>
        <v>0</v>
      </c>
      <c r="CS3" s="13">
        <f>IFERROR(CS2/Dashboard!$B$8,0)</f>
        <v>0</v>
      </c>
      <c r="CT3" s="13">
        <f>IFERROR(CT2/Dashboard!$B$8,0)</f>
        <v>0</v>
      </c>
      <c r="CU3" s="13">
        <f>IFERROR(CU2/Dashboard!$B$8,0)</f>
        <v>0</v>
      </c>
      <c r="CV3" s="13">
        <f>IFERROR(CV2/Dashboard!$B$8,0)</f>
        <v>0</v>
      </c>
      <c r="CW3" s="13">
        <f>IFERROR(CW2/Dashboard!$B$8,0)</f>
        <v>0</v>
      </c>
      <c r="CX3" s="13">
        <f>IFERROR(CX2/Dashboard!$B$8,0)</f>
        <v>0</v>
      </c>
      <c r="CY3" s="13">
        <f>IFERROR(CY2/Dashboard!$B$8,0)</f>
        <v>0</v>
      </c>
      <c r="CZ3" s="13">
        <f>IFERROR(CZ2/Dashboard!$B$8,0)</f>
        <v>0</v>
      </c>
      <c r="DA3" s="13">
        <f>IFERROR(DA2/Dashboard!$B$8,0)</f>
        <v>0</v>
      </c>
      <c r="DB3" s="13">
        <f>IFERROR(DB2/Dashboard!$B$8,0)</f>
        <v>0</v>
      </c>
      <c r="DC3" s="13">
        <f>IFERROR(DC2/Dashboard!$B$8,0)</f>
        <v>0</v>
      </c>
      <c r="DD3" s="13">
        <f>IFERROR(DD2/Dashboard!$B$8,0)</f>
        <v>0</v>
      </c>
      <c r="DE3" s="13">
        <f>IFERROR(DE2/Dashboard!$B$8,0)</f>
        <v>0</v>
      </c>
    </row>
    <row r="4" spans="1:109">
      <c r="A4" t="str">
        <f>Dashboard!B22</f>
        <v>Read Book</v>
      </c>
      <c r="B4" t="str">
        <f>Dashboard!C22</f>
        <v>Medium</v>
      </c>
      <c r="C4" t="str">
        <f>Dashboard!D22</f>
        <v>Habit</v>
      </c>
      <c r="D4" t="str">
        <f>Dashboard!E22</f>
        <v>Daily</v>
      </c>
      <c r="E4">
        <f>Dashboard!F22</f>
        <v>15</v>
      </c>
      <c r="F4" t="str">
        <f>Dashboard!G22</f>
        <v>15 pages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AM4">
        <f t="shared" si="0"/>
        <v>0</v>
      </c>
      <c r="AN4">
        <f t="shared" si="1"/>
        <v>0</v>
      </c>
      <c r="AO4">
        <f t="shared" si="2"/>
        <v>0</v>
      </c>
      <c r="AP4">
        <f t="shared" si="3"/>
        <v>1</v>
      </c>
      <c r="AQ4">
        <f t="shared" si="4"/>
        <v>0</v>
      </c>
      <c r="AR4">
        <f t="shared" si="5"/>
        <v>0</v>
      </c>
      <c r="AS4">
        <f t="shared" si="6"/>
        <v>0</v>
      </c>
      <c r="AT4">
        <f t="shared" si="7"/>
        <v>0</v>
      </c>
      <c r="AU4">
        <f t="shared" si="8"/>
        <v>0</v>
      </c>
      <c r="AV4">
        <f t="shared" si="9"/>
        <v>0</v>
      </c>
      <c r="AW4">
        <f t="shared" si="10"/>
        <v>0</v>
      </c>
      <c r="AX4">
        <f t="shared" si="11"/>
        <v>0</v>
      </c>
      <c r="AY4">
        <f t="shared" si="12"/>
        <v>0</v>
      </c>
      <c r="AZ4">
        <f t="shared" si="13"/>
        <v>0</v>
      </c>
      <c r="BA4">
        <f t="shared" si="14"/>
        <v>0</v>
      </c>
      <c r="BB4">
        <f t="shared" si="15"/>
        <v>0</v>
      </c>
      <c r="BC4">
        <f t="shared" si="16"/>
        <v>0</v>
      </c>
      <c r="BD4">
        <f t="shared" si="17"/>
        <v>0</v>
      </c>
      <c r="BE4">
        <f t="shared" si="18"/>
        <v>0</v>
      </c>
      <c r="BF4">
        <f t="shared" si="19"/>
        <v>0</v>
      </c>
      <c r="BG4">
        <f t="shared" si="20"/>
        <v>0</v>
      </c>
      <c r="BH4">
        <f t="shared" si="21"/>
        <v>0</v>
      </c>
      <c r="BI4">
        <f t="shared" si="22"/>
        <v>0</v>
      </c>
      <c r="BJ4">
        <f t="shared" si="23"/>
        <v>0</v>
      </c>
      <c r="BK4">
        <f t="shared" si="24"/>
        <v>0</v>
      </c>
      <c r="BL4">
        <f t="shared" si="25"/>
        <v>0</v>
      </c>
      <c r="BM4">
        <f t="shared" si="26"/>
        <v>0</v>
      </c>
      <c r="BN4">
        <f t="shared" si="27"/>
        <v>0</v>
      </c>
      <c r="BO4">
        <f t="shared" si="28"/>
        <v>0</v>
      </c>
      <c r="BP4">
        <f t="shared" si="29"/>
        <v>0</v>
      </c>
      <c r="BQ4">
        <f t="shared" si="30"/>
        <v>0</v>
      </c>
      <c r="BT4" cm="1">
        <f t="array" ref="BT4">IF(A4="","",MAX(FREQUENCY(IF(AM4:BQ4=1,COLUMN(AM4:BQ4)),IF(AM4:BQ4=0,COLUMN(AM4:BQ4)))))</f>
        <v>1</v>
      </c>
    </row>
    <row r="5" spans="1:109">
      <c r="A5" t="str">
        <f>Dashboard!B23</f>
        <v>Call Family</v>
      </c>
      <c r="B5" t="str">
        <f>Dashboard!C23</f>
        <v>Low</v>
      </c>
      <c r="C5" t="str">
        <f>Dashboard!D23</f>
        <v>Personal</v>
      </c>
      <c r="D5" t="str">
        <f>Dashboard!E23</f>
        <v>Weekly</v>
      </c>
      <c r="E5">
        <f>Dashboard!F23</f>
        <v>6</v>
      </c>
      <c r="F5" t="str">
        <f>Dashboard!G23</f>
        <v>Stay connected</v>
      </c>
      <c r="H5" t="b">
        <v>0</v>
      </c>
      <c r="I5" t="b">
        <v>0</v>
      </c>
      <c r="K5" t="b">
        <v>1</v>
      </c>
      <c r="L5" t="b">
        <v>0</v>
      </c>
      <c r="AM5">
        <f t="shared" si="0"/>
        <v>0</v>
      </c>
      <c r="AN5">
        <f t="shared" si="1"/>
        <v>0</v>
      </c>
      <c r="AO5">
        <f t="shared" si="2"/>
        <v>0</v>
      </c>
      <c r="AP5">
        <f t="shared" si="3"/>
        <v>1</v>
      </c>
      <c r="AQ5">
        <f t="shared" si="4"/>
        <v>0</v>
      </c>
      <c r="AR5">
        <f t="shared" si="5"/>
        <v>0</v>
      </c>
      <c r="AS5">
        <f t="shared" si="6"/>
        <v>0</v>
      </c>
      <c r="AT5">
        <f t="shared" si="7"/>
        <v>0</v>
      </c>
      <c r="AU5">
        <f t="shared" si="8"/>
        <v>0</v>
      </c>
      <c r="AV5">
        <f t="shared" si="9"/>
        <v>0</v>
      </c>
      <c r="AW5">
        <f t="shared" si="10"/>
        <v>0</v>
      </c>
      <c r="AX5">
        <f t="shared" si="11"/>
        <v>0</v>
      </c>
      <c r="AY5">
        <f t="shared" si="12"/>
        <v>0</v>
      </c>
      <c r="AZ5">
        <f t="shared" si="13"/>
        <v>0</v>
      </c>
      <c r="BA5">
        <f t="shared" si="14"/>
        <v>0</v>
      </c>
      <c r="BB5">
        <f t="shared" si="15"/>
        <v>0</v>
      </c>
      <c r="BC5">
        <f t="shared" si="16"/>
        <v>0</v>
      </c>
      <c r="BD5">
        <f t="shared" si="17"/>
        <v>0</v>
      </c>
      <c r="BE5">
        <f t="shared" si="18"/>
        <v>0</v>
      </c>
      <c r="BF5">
        <f t="shared" si="19"/>
        <v>0</v>
      </c>
      <c r="BG5">
        <f t="shared" si="20"/>
        <v>0</v>
      </c>
      <c r="BH5">
        <f t="shared" si="21"/>
        <v>0</v>
      </c>
      <c r="BI5">
        <f t="shared" si="22"/>
        <v>0</v>
      </c>
      <c r="BJ5">
        <f t="shared" si="23"/>
        <v>0</v>
      </c>
      <c r="BK5">
        <f t="shared" si="24"/>
        <v>0</v>
      </c>
      <c r="BL5">
        <f t="shared" si="25"/>
        <v>0</v>
      </c>
      <c r="BM5">
        <f t="shared" si="26"/>
        <v>0</v>
      </c>
      <c r="BN5">
        <f t="shared" si="27"/>
        <v>0</v>
      </c>
      <c r="BO5">
        <f t="shared" si="28"/>
        <v>0</v>
      </c>
      <c r="BP5">
        <f t="shared" si="29"/>
        <v>0</v>
      </c>
      <c r="BQ5">
        <f t="shared" si="30"/>
        <v>0</v>
      </c>
      <c r="BT5" cm="1">
        <f t="array" ref="BT5">IF(A5="","",MAX(FREQUENCY(IF(AM5:BQ5=1,COLUMN(AM5:BQ5)),IF(AM5:BQ5=0,COLUMN(AM5:BQ5)))))</f>
        <v>1</v>
      </c>
    </row>
    <row r="6" spans="1:109">
      <c r="A6">
        <f>Dashboard!B24</f>
        <v>0</v>
      </c>
      <c r="B6">
        <f>Dashboard!C24</f>
        <v>0</v>
      </c>
      <c r="C6">
        <f>Dashboard!D24</f>
        <v>0</v>
      </c>
      <c r="D6">
        <f>Dashboard!E24</f>
        <v>0</v>
      </c>
      <c r="E6">
        <f>Dashboard!F24</f>
        <v>0</v>
      </c>
      <c r="F6">
        <f>Dashboard!G24</f>
        <v>0</v>
      </c>
      <c r="J6" t="b">
        <v>0</v>
      </c>
      <c r="K6" t="b">
        <v>0</v>
      </c>
      <c r="AM6">
        <f t="shared" si="0"/>
        <v>0</v>
      </c>
      <c r="AN6">
        <f t="shared" si="1"/>
        <v>0</v>
      </c>
      <c r="AO6">
        <f t="shared" si="2"/>
        <v>0</v>
      </c>
      <c r="AP6">
        <f t="shared" si="3"/>
        <v>0</v>
      </c>
      <c r="AQ6">
        <f t="shared" si="4"/>
        <v>0</v>
      </c>
      <c r="AR6">
        <f t="shared" si="5"/>
        <v>0</v>
      </c>
      <c r="AS6">
        <f t="shared" si="6"/>
        <v>0</v>
      </c>
      <c r="AT6">
        <f t="shared" si="7"/>
        <v>0</v>
      </c>
      <c r="AU6">
        <f t="shared" si="8"/>
        <v>0</v>
      </c>
      <c r="AV6">
        <f t="shared" si="9"/>
        <v>0</v>
      </c>
      <c r="AW6">
        <f t="shared" si="10"/>
        <v>0</v>
      </c>
      <c r="AX6">
        <f t="shared" si="11"/>
        <v>0</v>
      </c>
      <c r="AY6">
        <f t="shared" si="12"/>
        <v>0</v>
      </c>
      <c r="AZ6">
        <f t="shared" si="13"/>
        <v>0</v>
      </c>
      <c r="BA6">
        <f t="shared" si="14"/>
        <v>0</v>
      </c>
      <c r="BB6">
        <f t="shared" si="15"/>
        <v>0</v>
      </c>
      <c r="BC6">
        <f t="shared" si="16"/>
        <v>0</v>
      </c>
      <c r="BD6">
        <f t="shared" si="17"/>
        <v>0</v>
      </c>
      <c r="BE6">
        <f t="shared" si="18"/>
        <v>0</v>
      </c>
      <c r="BF6">
        <f t="shared" si="19"/>
        <v>0</v>
      </c>
      <c r="BG6">
        <f t="shared" si="20"/>
        <v>0</v>
      </c>
      <c r="BH6">
        <f t="shared" si="21"/>
        <v>0</v>
      </c>
      <c r="BI6">
        <f t="shared" si="22"/>
        <v>0</v>
      </c>
      <c r="BJ6">
        <f t="shared" si="23"/>
        <v>0</v>
      </c>
      <c r="BK6">
        <f t="shared" si="24"/>
        <v>0</v>
      </c>
      <c r="BL6">
        <f t="shared" si="25"/>
        <v>0</v>
      </c>
      <c r="BM6">
        <f t="shared" si="26"/>
        <v>0</v>
      </c>
      <c r="BN6">
        <f t="shared" si="27"/>
        <v>0</v>
      </c>
      <c r="BO6">
        <f t="shared" si="28"/>
        <v>0</v>
      </c>
      <c r="BP6">
        <f t="shared" si="29"/>
        <v>0</v>
      </c>
      <c r="BQ6">
        <f t="shared" si="30"/>
        <v>0</v>
      </c>
      <c r="BT6" cm="1">
        <f t="array" ref="BT6">IF(A6="","",MAX(FREQUENCY(IF(AM6:BQ6=1,COLUMN(AM6:BQ6)),IF(AM6:BQ6=0,COLUMN(AM6:BQ6)))))</f>
        <v>0</v>
      </c>
    </row>
    <row r="7" spans="1:109">
      <c r="A7">
        <f>Dashboard!B25</f>
        <v>0</v>
      </c>
      <c r="B7">
        <f>Dashboard!C25</f>
        <v>0</v>
      </c>
      <c r="C7">
        <f>Dashboard!D25</f>
        <v>0</v>
      </c>
      <c r="D7">
        <f>Dashboard!E25</f>
        <v>0</v>
      </c>
      <c r="E7">
        <f>Dashboard!F25</f>
        <v>0</v>
      </c>
      <c r="F7">
        <f>Dashboard!G25</f>
        <v>0</v>
      </c>
      <c r="AM7">
        <f t="shared" si="0"/>
        <v>0</v>
      </c>
      <c r="AN7">
        <f t="shared" si="1"/>
        <v>0</v>
      </c>
      <c r="AO7">
        <f t="shared" si="2"/>
        <v>0</v>
      </c>
      <c r="AP7">
        <f t="shared" si="3"/>
        <v>0</v>
      </c>
      <c r="AQ7">
        <f t="shared" si="4"/>
        <v>0</v>
      </c>
      <c r="AR7">
        <f t="shared" si="5"/>
        <v>0</v>
      </c>
      <c r="AS7">
        <f t="shared" si="6"/>
        <v>0</v>
      </c>
      <c r="AT7">
        <f t="shared" si="7"/>
        <v>0</v>
      </c>
      <c r="AU7">
        <f t="shared" si="8"/>
        <v>0</v>
      </c>
      <c r="AV7">
        <f t="shared" si="9"/>
        <v>0</v>
      </c>
      <c r="AW7">
        <f t="shared" si="10"/>
        <v>0</v>
      </c>
      <c r="AX7">
        <f t="shared" si="11"/>
        <v>0</v>
      </c>
      <c r="AY7">
        <f t="shared" si="12"/>
        <v>0</v>
      </c>
      <c r="AZ7">
        <f t="shared" si="13"/>
        <v>0</v>
      </c>
      <c r="BA7">
        <f t="shared" si="14"/>
        <v>0</v>
      </c>
      <c r="BB7">
        <f t="shared" si="15"/>
        <v>0</v>
      </c>
      <c r="BC7">
        <f t="shared" si="16"/>
        <v>0</v>
      </c>
      <c r="BD7">
        <f t="shared" si="17"/>
        <v>0</v>
      </c>
      <c r="BE7">
        <f t="shared" si="18"/>
        <v>0</v>
      </c>
      <c r="BF7">
        <f t="shared" si="19"/>
        <v>0</v>
      </c>
      <c r="BG7">
        <f t="shared" si="20"/>
        <v>0</v>
      </c>
      <c r="BH7">
        <f t="shared" si="21"/>
        <v>0</v>
      </c>
      <c r="BI7">
        <f t="shared" si="22"/>
        <v>0</v>
      </c>
      <c r="BJ7">
        <f t="shared" si="23"/>
        <v>0</v>
      </c>
      <c r="BK7">
        <f t="shared" si="24"/>
        <v>0</v>
      </c>
      <c r="BL7">
        <f t="shared" si="25"/>
        <v>0</v>
      </c>
      <c r="BM7">
        <f t="shared" si="26"/>
        <v>0</v>
      </c>
      <c r="BN7">
        <f t="shared" si="27"/>
        <v>0</v>
      </c>
      <c r="BO7">
        <f t="shared" si="28"/>
        <v>0</v>
      </c>
      <c r="BP7">
        <f t="shared" si="29"/>
        <v>0</v>
      </c>
      <c r="BQ7">
        <f t="shared" si="30"/>
        <v>0</v>
      </c>
      <c r="BT7" cm="1">
        <f t="array" ref="BT7">IF(A7="","",MAX(FREQUENCY(IF(AM7:BQ7=1,COLUMN(AM7:BQ7)),IF(AM7:BQ7=0,COLUMN(AM7:BQ7)))))</f>
        <v>0</v>
      </c>
    </row>
    <row r="8" spans="1:109">
      <c r="A8">
        <f>Dashboard!B26</f>
        <v>0</v>
      </c>
      <c r="B8">
        <f>Dashboard!C26</f>
        <v>0</v>
      </c>
      <c r="C8">
        <f>Dashboard!D26</f>
        <v>0</v>
      </c>
      <c r="D8">
        <f>Dashboard!E26</f>
        <v>0</v>
      </c>
      <c r="E8">
        <f>Dashboard!F26</f>
        <v>0</v>
      </c>
      <c r="F8">
        <f>Dashboard!G26</f>
        <v>0</v>
      </c>
      <c r="AM8">
        <f t="shared" si="0"/>
        <v>0</v>
      </c>
      <c r="AN8">
        <f t="shared" si="1"/>
        <v>0</v>
      </c>
      <c r="AO8">
        <f t="shared" si="2"/>
        <v>0</v>
      </c>
      <c r="AP8">
        <f t="shared" si="3"/>
        <v>0</v>
      </c>
      <c r="AQ8">
        <f t="shared" si="4"/>
        <v>0</v>
      </c>
      <c r="AR8">
        <f t="shared" si="5"/>
        <v>0</v>
      </c>
      <c r="AS8">
        <f t="shared" si="6"/>
        <v>0</v>
      </c>
      <c r="AT8">
        <f t="shared" si="7"/>
        <v>0</v>
      </c>
      <c r="AU8">
        <f t="shared" si="8"/>
        <v>0</v>
      </c>
      <c r="AV8">
        <f t="shared" si="9"/>
        <v>0</v>
      </c>
      <c r="AW8">
        <f t="shared" si="10"/>
        <v>0</v>
      </c>
      <c r="AX8">
        <f t="shared" si="11"/>
        <v>0</v>
      </c>
      <c r="AY8">
        <f t="shared" si="12"/>
        <v>0</v>
      </c>
      <c r="AZ8">
        <f t="shared" si="13"/>
        <v>0</v>
      </c>
      <c r="BA8">
        <f t="shared" si="14"/>
        <v>0</v>
      </c>
      <c r="BB8">
        <f t="shared" si="15"/>
        <v>0</v>
      </c>
      <c r="BC8">
        <f t="shared" si="16"/>
        <v>0</v>
      </c>
      <c r="BD8">
        <f t="shared" si="17"/>
        <v>0</v>
      </c>
      <c r="BE8">
        <f t="shared" si="18"/>
        <v>0</v>
      </c>
      <c r="BF8">
        <f t="shared" si="19"/>
        <v>0</v>
      </c>
      <c r="BG8">
        <f t="shared" si="20"/>
        <v>0</v>
      </c>
      <c r="BH8">
        <f t="shared" si="21"/>
        <v>0</v>
      </c>
      <c r="BI8">
        <f t="shared" si="22"/>
        <v>0</v>
      </c>
      <c r="BJ8">
        <f t="shared" si="23"/>
        <v>0</v>
      </c>
      <c r="BK8">
        <f t="shared" si="24"/>
        <v>0</v>
      </c>
      <c r="BL8">
        <f t="shared" si="25"/>
        <v>0</v>
      </c>
      <c r="BM8">
        <f t="shared" si="26"/>
        <v>0</v>
      </c>
      <c r="BN8">
        <f t="shared" si="27"/>
        <v>0</v>
      </c>
      <c r="BO8">
        <f t="shared" si="28"/>
        <v>0</v>
      </c>
      <c r="BP8">
        <f t="shared" si="29"/>
        <v>0</v>
      </c>
      <c r="BQ8">
        <f t="shared" si="30"/>
        <v>0</v>
      </c>
      <c r="BT8" cm="1">
        <f t="array" ref="BT8">IF(A8="","",MAX(FREQUENCY(IF(AM8:BQ8=1,COLUMN(AM8:BQ8)),IF(AM8:BQ8=0,COLUMN(AM8:BQ8)))))</f>
        <v>0</v>
      </c>
    </row>
    <row r="9" spans="1:109">
      <c r="A9">
        <f>Dashboard!B27</f>
        <v>0</v>
      </c>
      <c r="B9">
        <f>Dashboard!C27</f>
        <v>0</v>
      </c>
      <c r="C9">
        <f>Dashboard!D27</f>
        <v>0</v>
      </c>
      <c r="D9">
        <f>Dashboard!E27</f>
        <v>0</v>
      </c>
      <c r="E9">
        <f>Dashboard!F27</f>
        <v>0</v>
      </c>
      <c r="F9">
        <f>Dashboard!G27</f>
        <v>0</v>
      </c>
      <c r="Q9" t="b">
        <v>0</v>
      </c>
      <c r="AM9">
        <f t="shared" si="0"/>
        <v>0</v>
      </c>
      <c r="AN9">
        <f t="shared" si="1"/>
        <v>0</v>
      </c>
      <c r="AO9">
        <f t="shared" si="2"/>
        <v>0</v>
      </c>
      <c r="AP9">
        <f t="shared" si="3"/>
        <v>0</v>
      </c>
      <c r="AQ9">
        <f t="shared" si="4"/>
        <v>0</v>
      </c>
      <c r="AR9">
        <f t="shared" si="5"/>
        <v>0</v>
      </c>
      <c r="AS9">
        <f t="shared" si="6"/>
        <v>0</v>
      </c>
      <c r="AT9">
        <f t="shared" si="7"/>
        <v>0</v>
      </c>
      <c r="AU9">
        <f t="shared" si="8"/>
        <v>0</v>
      </c>
      <c r="AV9">
        <f t="shared" si="9"/>
        <v>0</v>
      </c>
      <c r="AW9">
        <f t="shared" si="10"/>
        <v>0</v>
      </c>
      <c r="AX9">
        <f t="shared" si="11"/>
        <v>0</v>
      </c>
      <c r="AY9">
        <f t="shared" si="12"/>
        <v>0</v>
      </c>
      <c r="AZ9">
        <f t="shared" si="13"/>
        <v>0</v>
      </c>
      <c r="BA9">
        <f t="shared" si="14"/>
        <v>0</v>
      </c>
      <c r="BB9">
        <f t="shared" si="15"/>
        <v>0</v>
      </c>
      <c r="BC9">
        <f t="shared" si="16"/>
        <v>0</v>
      </c>
      <c r="BD9">
        <f t="shared" si="17"/>
        <v>0</v>
      </c>
      <c r="BE9">
        <f t="shared" si="18"/>
        <v>0</v>
      </c>
      <c r="BF9">
        <f t="shared" si="19"/>
        <v>0</v>
      </c>
      <c r="BG9">
        <f t="shared" si="20"/>
        <v>0</v>
      </c>
      <c r="BH9">
        <f t="shared" si="21"/>
        <v>0</v>
      </c>
      <c r="BI9">
        <f t="shared" si="22"/>
        <v>0</v>
      </c>
      <c r="BJ9">
        <f t="shared" si="23"/>
        <v>0</v>
      </c>
      <c r="BK9">
        <f t="shared" si="24"/>
        <v>0</v>
      </c>
      <c r="BL9">
        <f t="shared" si="25"/>
        <v>0</v>
      </c>
      <c r="BM9">
        <f t="shared" si="26"/>
        <v>0</v>
      </c>
      <c r="BN9">
        <f t="shared" si="27"/>
        <v>0</v>
      </c>
      <c r="BO9">
        <f t="shared" si="28"/>
        <v>0</v>
      </c>
      <c r="BP9">
        <f t="shared" si="29"/>
        <v>0</v>
      </c>
      <c r="BQ9">
        <f t="shared" si="30"/>
        <v>0</v>
      </c>
      <c r="BT9" cm="1">
        <f t="array" ref="BT9">IF(A9="","",MAX(FREQUENCY(IF(AM9:BQ9=1,COLUMN(AM9:BQ9)),IF(AM9:BQ9=0,COLUMN(AM9:BQ9)))))</f>
        <v>0</v>
      </c>
    </row>
    <row r="10" spans="1:109">
      <c r="A10">
        <f>Dashboard!B28</f>
        <v>0</v>
      </c>
      <c r="B10">
        <f>Dashboard!C28</f>
        <v>0</v>
      </c>
      <c r="C10">
        <f>Dashboard!D28</f>
        <v>0</v>
      </c>
      <c r="D10">
        <f>Dashboard!E28</f>
        <v>0</v>
      </c>
      <c r="E10">
        <f>Dashboard!F28</f>
        <v>0</v>
      </c>
      <c r="F10">
        <f>Dashboard!G28</f>
        <v>0</v>
      </c>
      <c r="AM10">
        <f t="shared" si="0"/>
        <v>0</v>
      </c>
      <c r="AN10">
        <f t="shared" si="1"/>
        <v>0</v>
      </c>
      <c r="AO10">
        <f t="shared" si="2"/>
        <v>0</v>
      </c>
      <c r="AP10">
        <f t="shared" si="3"/>
        <v>0</v>
      </c>
      <c r="AQ10">
        <f t="shared" si="4"/>
        <v>0</v>
      </c>
      <c r="AR10">
        <f t="shared" si="5"/>
        <v>0</v>
      </c>
      <c r="AS10">
        <f t="shared" si="6"/>
        <v>0</v>
      </c>
      <c r="AT10">
        <f t="shared" si="7"/>
        <v>0</v>
      </c>
      <c r="AU10">
        <f t="shared" si="8"/>
        <v>0</v>
      </c>
      <c r="AV10">
        <f t="shared" si="9"/>
        <v>0</v>
      </c>
      <c r="AW10">
        <f t="shared" si="10"/>
        <v>0</v>
      </c>
      <c r="AX10">
        <f t="shared" si="11"/>
        <v>0</v>
      </c>
      <c r="AY10">
        <f t="shared" si="12"/>
        <v>0</v>
      </c>
      <c r="AZ10">
        <f t="shared" si="13"/>
        <v>0</v>
      </c>
      <c r="BA10">
        <f t="shared" si="14"/>
        <v>0</v>
      </c>
      <c r="BB10">
        <f t="shared" si="15"/>
        <v>0</v>
      </c>
      <c r="BC10">
        <f t="shared" si="16"/>
        <v>0</v>
      </c>
      <c r="BD10">
        <f t="shared" si="17"/>
        <v>0</v>
      </c>
      <c r="BE10">
        <f t="shared" si="18"/>
        <v>0</v>
      </c>
      <c r="BF10">
        <f t="shared" si="19"/>
        <v>0</v>
      </c>
      <c r="BG10">
        <f t="shared" si="20"/>
        <v>0</v>
      </c>
      <c r="BH10">
        <f t="shared" si="21"/>
        <v>0</v>
      </c>
      <c r="BI10">
        <f t="shared" si="22"/>
        <v>0</v>
      </c>
      <c r="BJ10">
        <f t="shared" si="23"/>
        <v>0</v>
      </c>
      <c r="BK10">
        <f t="shared" si="24"/>
        <v>0</v>
      </c>
      <c r="BL10">
        <f t="shared" si="25"/>
        <v>0</v>
      </c>
      <c r="BM10">
        <f t="shared" si="26"/>
        <v>0</v>
      </c>
      <c r="BN10">
        <f t="shared" si="27"/>
        <v>0</v>
      </c>
      <c r="BO10">
        <f t="shared" si="28"/>
        <v>0</v>
      </c>
      <c r="BP10">
        <f t="shared" si="29"/>
        <v>0</v>
      </c>
      <c r="BQ10">
        <f t="shared" si="30"/>
        <v>0</v>
      </c>
      <c r="BT10" cm="1">
        <f t="array" ref="BT10">IF(A10="","",MAX(FREQUENCY(IF(AM10:BQ10=1,COLUMN(AM10:BQ10)),IF(AM10:BQ10=0,COLUMN(AM10:BQ10)))))</f>
        <v>0</v>
      </c>
    </row>
    <row r="11" spans="1:109">
      <c r="A11">
        <f>Dashboard!B29</f>
        <v>0</v>
      </c>
      <c r="B11">
        <f>Dashboard!C29</f>
        <v>0</v>
      </c>
      <c r="C11">
        <f>Dashboard!D29</f>
        <v>0</v>
      </c>
      <c r="D11">
        <f>Dashboard!E29</f>
        <v>0</v>
      </c>
      <c r="E11">
        <f>Dashboard!F29</f>
        <v>0</v>
      </c>
      <c r="F11">
        <f>Dashboard!G29</f>
        <v>0</v>
      </c>
      <c r="AM11">
        <f t="shared" si="0"/>
        <v>0</v>
      </c>
      <c r="AN11">
        <f t="shared" si="1"/>
        <v>0</v>
      </c>
      <c r="AO11">
        <f t="shared" si="2"/>
        <v>0</v>
      </c>
      <c r="AP11">
        <f t="shared" si="3"/>
        <v>0</v>
      </c>
      <c r="AQ11">
        <f t="shared" si="4"/>
        <v>0</v>
      </c>
      <c r="AR11">
        <f t="shared" si="5"/>
        <v>0</v>
      </c>
      <c r="AS11">
        <f t="shared" si="6"/>
        <v>0</v>
      </c>
      <c r="AT11">
        <f t="shared" si="7"/>
        <v>0</v>
      </c>
      <c r="AU11">
        <f t="shared" si="8"/>
        <v>0</v>
      </c>
      <c r="AV11">
        <f t="shared" si="9"/>
        <v>0</v>
      </c>
      <c r="AW11">
        <f t="shared" si="10"/>
        <v>0</v>
      </c>
      <c r="AX11">
        <f t="shared" si="11"/>
        <v>0</v>
      </c>
      <c r="AY11">
        <f t="shared" si="12"/>
        <v>0</v>
      </c>
      <c r="AZ11">
        <f t="shared" si="13"/>
        <v>0</v>
      </c>
      <c r="BA11">
        <f t="shared" si="14"/>
        <v>0</v>
      </c>
      <c r="BB11">
        <f t="shared" si="15"/>
        <v>0</v>
      </c>
      <c r="BC11">
        <f t="shared" si="16"/>
        <v>0</v>
      </c>
      <c r="BD11">
        <f t="shared" si="17"/>
        <v>0</v>
      </c>
      <c r="BE11">
        <f t="shared" si="18"/>
        <v>0</v>
      </c>
      <c r="BF11">
        <f t="shared" si="19"/>
        <v>0</v>
      </c>
      <c r="BG11">
        <f t="shared" si="20"/>
        <v>0</v>
      </c>
      <c r="BH11">
        <f t="shared" si="21"/>
        <v>0</v>
      </c>
      <c r="BI11">
        <f t="shared" si="22"/>
        <v>0</v>
      </c>
      <c r="BJ11">
        <f t="shared" si="23"/>
        <v>0</v>
      </c>
      <c r="BK11">
        <f t="shared" si="24"/>
        <v>0</v>
      </c>
      <c r="BL11">
        <f t="shared" si="25"/>
        <v>0</v>
      </c>
      <c r="BM11">
        <f t="shared" si="26"/>
        <v>0</v>
      </c>
      <c r="BN11">
        <f t="shared" si="27"/>
        <v>0</v>
      </c>
      <c r="BO11">
        <f t="shared" si="28"/>
        <v>0</v>
      </c>
      <c r="BP11">
        <f t="shared" si="29"/>
        <v>0</v>
      </c>
      <c r="BQ11">
        <f t="shared" si="30"/>
        <v>0</v>
      </c>
      <c r="BT11" cm="1">
        <f t="array" ref="BT11">IF(A11="","",MAX(FREQUENCY(IF(AM11:BQ11=1,COLUMN(AM11:BQ11)),IF(AM11:BQ11=0,COLUMN(AM11:BQ11)))))</f>
        <v>0</v>
      </c>
    </row>
    <row r="12" spans="1:109">
      <c r="A12">
        <f>Dashboard!B30</f>
        <v>0</v>
      </c>
      <c r="B12">
        <f>Dashboard!C30</f>
        <v>0</v>
      </c>
      <c r="C12">
        <f>Dashboard!D30</f>
        <v>0</v>
      </c>
      <c r="D12">
        <f>Dashboard!E30</f>
        <v>0</v>
      </c>
      <c r="E12">
        <f>Dashboard!F30</f>
        <v>0</v>
      </c>
      <c r="F12">
        <f>Dashboard!G30</f>
        <v>0</v>
      </c>
      <c r="AM12">
        <f t="shared" si="0"/>
        <v>0</v>
      </c>
      <c r="AN12">
        <f t="shared" si="1"/>
        <v>0</v>
      </c>
      <c r="AO12">
        <f t="shared" si="2"/>
        <v>0</v>
      </c>
      <c r="AP12">
        <f t="shared" si="3"/>
        <v>0</v>
      </c>
      <c r="AQ12">
        <f t="shared" si="4"/>
        <v>0</v>
      </c>
      <c r="AR12">
        <f t="shared" si="5"/>
        <v>0</v>
      </c>
      <c r="AS12">
        <f t="shared" si="6"/>
        <v>0</v>
      </c>
      <c r="AT12">
        <f t="shared" si="7"/>
        <v>0</v>
      </c>
      <c r="AU12">
        <f t="shared" si="8"/>
        <v>0</v>
      </c>
      <c r="AV12">
        <f t="shared" si="9"/>
        <v>0</v>
      </c>
      <c r="AW12">
        <f t="shared" si="10"/>
        <v>0</v>
      </c>
      <c r="AX12">
        <f t="shared" si="11"/>
        <v>0</v>
      </c>
      <c r="AY12">
        <f t="shared" si="12"/>
        <v>0</v>
      </c>
      <c r="AZ12">
        <f t="shared" si="13"/>
        <v>0</v>
      </c>
      <c r="BA12">
        <f t="shared" si="14"/>
        <v>0</v>
      </c>
      <c r="BB12">
        <f t="shared" si="15"/>
        <v>0</v>
      </c>
      <c r="BC12">
        <f t="shared" si="16"/>
        <v>0</v>
      </c>
      <c r="BD12">
        <f t="shared" si="17"/>
        <v>0</v>
      </c>
      <c r="BE12">
        <f t="shared" si="18"/>
        <v>0</v>
      </c>
      <c r="BF12">
        <f t="shared" si="19"/>
        <v>0</v>
      </c>
      <c r="BG12">
        <f t="shared" si="20"/>
        <v>0</v>
      </c>
      <c r="BH12">
        <f t="shared" si="21"/>
        <v>0</v>
      </c>
      <c r="BI12">
        <f t="shared" si="22"/>
        <v>0</v>
      </c>
      <c r="BJ12">
        <f t="shared" si="23"/>
        <v>0</v>
      </c>
      <c r="BK12">
        <f t="shared" si="24"/>
        <v>0</v>
      </c>
      <c r="BL12">
        <f t="shared" si="25"/>
        <v>0</v>
      </c>
      <c r="BM12">
        <f t="shared" si="26"/>
        <v>0</v>
      </c>
      <c r="BN12">
        <f t="shared" si="27"/>
        <v>0</v>
      </c>
      <c r="BO12">
        <f t="shared" si="28"/>
        <v>0</v>
      </c>
      <c r="BP12">
        <f t="shared" si="29"/>
        <v>0</v>
      </c>
      <c r="BQ12">
        <f t="shared" si="30"/>
        <v>0</v>
      </c>
      <c r="BT12" cm="1">
        <f t="array" ref="BT12">IF(A12="","",MAX(FREQUENCY(IF(AM12:BQ12=1,COLUMN(AM12:BQ12)),IF(AM12:BQ12=0,COLUMN(AM12:BQ12)))))</f>
        <v>0</v>
      </c>
    </row>
    <row r="13" spans="1:109">
      <c r="A13">
        <f>Dashboard!B31</f>
        <v>0</v>
      </c>
      <c r="B13">
        <f>Dashboard!C31</f>
        <v>0</v>
      </c>
      <c r="C13">
        <f>Dashboard!D31</f>
        <v>0</v>
      </c>
      <c r="D13">
        <f>Dashboard!E31</f>
        <v>0</v>
      </c>
      <c r="E13">
        <f>Dashboard!F31</f>
        <v>0</v>
      </c>
      <c r="F13">
        <f>Dashboard!G31</f>
        <v>0</v>
      </c>
      <c r="AM13">
        <f t="shared" si="0"/>
        <v>0</v>
      </c>
      <c r="AN13">
        <f t="shared" si="1"/>
        <v>0</v>
      </c>
      <c r="AO13">
        <f t="shared" si="2"/>
        <v>0</v>
      </c>
      <c r="AP13">
        <f t="shared" si="3"/>
        <v>0</v>
      </c>
      <c r="AQ13">
        <f t="shared" si="4"/>
        <v>0</v>
      </c>
      <c r="AR13">
        <f t="shared" si="5"/>
        <v>0</v>
      </c>
      <c r="AS13">
        <f t="shared" si="6"/>
        <v>0</v>
      </c>
      <c r="AT13">
        <f t="shared" si="7"/>
        <v>0</v>
      </c>
      <c r="AU13">
        <f t="shared" si="8"/>
        <v>0</v>
      </c>
      <c r="AV13">
        <f t="shared" si="9"/>
        <v>0</v>
      </c>
      <c r="AW13">
        <f t="shared" si="10"/>
        <v>0</v>
      </c>
      <c r="AX13">
        <f t="shared" si="11"/>
        <v>0</v>
      </c>
      <c r="AY13">
        <f t="shared" si="12"/>
        <v>0</v>
      </c>
      <c r="AZ13">
        <f t="shared" si="13"/>
        <v>0</v>
      </c>
      <c r="BA13">
        <f t="shared" si="14"/>
        <v>0</v>
      </c>
      <c r="BB13">
        <f t="shared" si="15"/>
        <v>0</v>
      </c>
      <c r="BC13">
        <f t="shared" si="16"/>
        <v>0</v>
      </c>
      <c r="BD13">
        <f t="shared" si="17"/>
        <v>0</v>
      </c>
      <c r="BE13">
        <f t="shared" si="18"/>
        <v>0</v>
      </c>
      <c r="BF13">
        <f t="shared" si="19"/>
        <v>0</v>
      </c>
      <c r="BG13">
        <f t="shared" si="20"/>
        <v>0</v>
      </c>
      <c r="BH13">
        <f t="shared" si="21"/>
        <v>0</v>
      </c>
      <c r="BI13">
        <f t="shared" si="22"/>
        <v>0</v>
      </c>
      <c r="BJ13">
        <f t="shared" si="23"/>
        <v>0</v>
      </c>
      <c r="BK13">
        <f t="shared" si="24"/>
        <v>0</v>
      </c>
      <c r="BL13">
        <f t="shared" si="25"/>
        <v>0</v>
      </c>
      <c r="BM13">
        <f t="shared" si="26"/>
        <v>0</v>
      </c>
      <c r="BN13">
        <f t="shared" si="27"/>
        <v>0</v>
      </c>
      <c r="BO13">
        <f t="shared" si="28"/>
        <v>0</v>
      </c>
      <c r="BP13">
        <f t="shared" si="29"/>
        <v>0</v>
      </c>
      <c r="BQ13">
        <f t="shared" si="30"/>
        <v>0</v>
      </c>
      <c r="BT13" cm="1">
        <f t="array" ref="BT13">IF(A13="","",MAX(FREQUENCY(IF(AM13:BQ13=1,COLUMN(AM13:BQ13)),IF(AM13:BQ13=0,COLUMN(AM13:BQ13)))))</f>
        <v>0</v>
      </c>
    </row>
    <row r="14" spans="1:109">
      <c r="A14">
        <f>Dashboard!B32</f>
        <v>0</v>
      </c>
      <c r="B14">
        <f>Dashboard!C32</f>
        <v>0</v>
      </c>
      <c r="C14">
        <f>Dashboard!D32</f>
        <v>0</v>
      </c>
      <c r="D14">
        <f>Dashboard!E32</f>
        <v>0</v>
      </c>
      <c r="E14">
        <f>Dashboard!F32</f>
        <v>0</v>
      </c>
      <c r="F14">
        <f>Dashboard!G32</f>
        <v>0</v>
      </c>
      <c r="AM14">
        <f t="shared" si="0"/>
        <v>0</v>
      </c>
      <c r="AN14">
        <f t="shared" si="1"/>
        <v>0</v>
      </c>
      <c r="AO14">
        <f t="shared" si="2"/>
        <v>0</v>
      </c>
      <c r="AP14">
        <f t="shared" si="3"/>
        <v>0</v>
      </c>
      <c r="AQ14">
        <f t="shared" si="4"/>
        <v>0</v>
      </c>
      <c r="AR14">
        <f t="shared" si="5"/>
        <v>0</v>
      </c>
      <c r="AS14">
        <f t="shared" si="6"/>
        <v>0</v>
      </c>
      <c r="AT14">
        <f t="shared" si="7"/>
        <v>0</v>
      </c>
      <c r="AU14">
        <f t="shared" si="8"/>
        <v>0</v>
      </c>
      <c r="AV14">
        <f t="shared" si="9"/>
        <v>0</v>
      </c>
      <c r="AW14">
        <f t="shared" si="10"/>
        <v>0</v>
      </c>
      <c r="AX14">
        <f t="shared" si="11"/>
        <v>0</v>
      </c>
      <c r="AY14">
        <f t="shared" si="12"/>
        <v>0</v>
      </c>
      <c r="AZ14">
        <f t="shared" si="13"/>
        <v>0</v>
      </c>
      <c r="BA14">
        <f t="shared" si="14"/>
        <v>0</v>
      </c>
      <c r="BB14">
        <f t="shared" si="15"/>
        <v>0</v>
      </c>
      <c r="BC14">
        <f t="shared" si="16"/>
        <v>0</v>
      </c>
      <c r="BD14">
        <f t="shared" si="17"/>
        <v>0</v>
      </c>
      <c r="BE14">
        <f t="shared" si="18"/>
        <v>0</v>
      </c>
      <c r="BF14">
        <f t="shared" si="19"/>
        <v>0</v>
      </c>
      <c r="BG14">
        <f t="shared" si="20"/>
        <v>0</v>
      </c>
      <c r="BH14">
        <f t="shared" si="21"/>
        <v>0</v>
      </c>
      <c r="BI14">
        <f t="shared" si="22"/>
        <v>0</v>
      </c>
      <c r="BJ14">
        <f t="shared" si="23"/>
        <v>0</v>
      </c>
      <c r="BK14">
        <f t="shared" si="24"/>
        <v>0</v>
      </c>
      <c r="BL14">
        <f t="shared" si="25"/>
        <v>0</v>
      </c>
      <c r="BM14">
        <f t="shared" si="26"/>
        <v>0</v>
      </c>
      <c r="BN14">
        <f t="shared" si="27"/>
        <v>0</v>
      </c>
      <c r="BO14">
        <f t="shared" si="28"/>
        <v>0</v>
      </c>
      <c r="BP14">
        <f t="shared" si="29"/>
        <v>0</v>
      </c>
      <c r="BQ14">
        <f t="shared" si="30"/>
        <v>0</v>
      </c>
      <c r="BT14" cm="1">
        <f t="array" ref="BT14">IF(A14="","",MAX(FREQUENCY(IF(AM14:BQ14=1,COLUMN(AM14:BQ14)),IF(AM14:BQ14=0,COLUMN(AM14:BQ14)))))</f>
        <v>0</v>
      </c>
    </row>
    <row r="15" spans="1:109">
      <c r="A15">
        <f>Dashboard!B33</f>
        <v>0</v>
      </c>
      <c r="B15">
        <f>Dashboard!C33</f>
        <v>0</v>
      </c>
      <c r="C15">
        <f>Dashboard!D33</f>
        <v>0</v>
      </c>
      <c r="D15">
        <f>Dashboard!E33</f>
        <v>0</v>
      </c>
      <c r="E15">
        <f>Dashboard!F33</f>
        <v>0</v>
      </c>
      <c r="F15">
        <f>Dashboard!G33</f>
        <v>0</v>
      </c>
      <c r="AM15">
        <f t="shared" si="0"/>
        <v>0</v>
      </c>
      <c r="AN15">
        <f t="shared" si="1"/>
        <v>0</v>
      </c>
      <c r="AO15">
        <f t="shared" si="2"/>
        <v>0</v>
      </c>
      <c r="AP15">
        <f t="shared" si="3"/>
        <v>0</v>
      </c>
      <c r="AQ15">
        <f t="shared" si="4"/>
        <v>0</v>
      </c>
      <c r="AR15">
        <f t="shared" si="5"/>
        <v>0</v>
      </c>
      <c r="AS15">
        <f t="shared" si="6"/>
        <v>0</v>
      </c>
      <c r="AT15">
        <f t="shared" si="7"/>
        <v>0</v>
      </c>
      <c r="AU15">
        <f t="shared" si="8"/>
        <v>0</v>
      </c>
      <c r="AV15">
        <f t="shared" si="9"/>
        <v>0</v>
      </c>
      <c r="AW15">
        <f t="shared" si="10"/>
        <v>0</v>
      </c>
      <c r="AX15">
        <f t="shared" si="11"/>
        <v>0</v>
      </c>
      <c r="AY15">
        <f t="shared" si="12"/>
        <v>0</v>
      </c>
      <c r="AZ15">
        <f t="shared" si="13"/>
        <v>0</v>
      </c>
      <c r="BA15">
        <f t="shared" si="14"/>
        <v>0</v>
      </c>
      <c r="BB15">
        <f t="shared" si="15"/>
        <v>0</v>
      </c>
      <c r="BC15">
        <f t="shared" si="16"/>
        <v>0</v>
      </c>
      <c r="BD15">
        <f t="shared" si="17"/>
        <v>0</v>
      </c>
      <c r="BE15">
        <f t="shared" si="18"/>
        <v>0</v>
      </c>
      <c r="BF15">
        <f t="shared" si="19"/>
        <v>0</v>
      </c>
      <c r="BG15">
        <f t="shared" si="20"/>
        <v>0</v>
      </c>
      <c r="BH15">
        <f t="shared" si="21"/>
        <v>0</v>
      </c>
      <c r="BI15">
        <f t="shared" si="22"/>
        <v>0</v>
      </c>
      <c r="BJ15">
        <f t="shared" si="23"/>
        <v>0</v>
      </c>
      <c r="BK15">
        <f t="shared" si="24"/>
        <v>0</v>
      </c>
      <c r="BL15">
        <f t="shared" si="25"/>
        <v>0</v>
      </c>
      <c r="BM15">
        <f t="shared" si="26"/>
        <v>0</v>
      </c>
      <c r="BN15">
        <f t="shared" si="27"/>
        <v>0</v>
      </c>
      <c r="BO15">
        <f t="shared" si="28"/>
        <v>0</v>
      </c>
      <c r="BP15">
        <f t="shared" si="29"/>
        <v>0</v>
      </c>
      <c r="BQ15">
        <f t="shared" si="30"/>
        <v>0</v>
      </c>
      <c r="BT15" cm="1">
        <f t="array" ref="BT15">IF(A15="","",MAX(FREQUENCY(IF(AM15:BQ15=1,COLUMN(AM15:BQ15)),IF(AM15:BQ15=0,COLUMN(AM15:BQ15)))))</f>
        <v>0</v>
      </c>
    </row>
    <row r="16" spans="1:109">
      <c r="A16">
        <f>Dashboard!B34</f>
        <v>0</v>
      </c>
      <c r="B16">
        <f>Dashboard!C34</f>
        <v>0</v>
      </c>
      <c r="C16">
        <f>Dashboard!D34</f>
        <v>0</v>
      </c>
      <c r="D16">
        <f>Dashboard!E34</f>
        <v>0</v>
      </c>
      <c r="E16">
        <f>Dashboard!F34</f>
        <v>0</v>
      </c>
      <c r="F16">
        <f>Dashboard!G34</f>
        <v>0</v>
      </c>
      <c r="AM16">
        <f t="shared" si="0"/>
        <v>0</v>
      </c>
      <c r="AN16">
        <f t="shared" si="1"/>
        <v>0</v>
      </c>
      <c r="AO16">
        <f t="shared" si="2"/>
        <v>0</v>
      </c>
      <c r="AP16">
        <f t="shared" si="3"/>
        <v>0</v>
      </c>
      <c r="AQ16">
        <f t="shared" si="4"/>
        <v>0</v>
      </c>
      <c r="AR16">
        <f t="shared" si="5"/>
        <v>0</v>
      </c>
      <c r="AS16">
        <f t="shared" si="6"/>
        <v>0</v>
      </c>
      <c r="AT16">
        <f t="shared" si="7"/>
        <v>0</v>
      </c>
      <c r="AU16">
        <f t="shared" si="8"/>
        <v>0</v>
      </c>
      <c r="AV16">
        <f t="shared" si="9"/>
        <v>0</v>
      </c>
      <c r="AW16">
        <f t="shared" si="10"/>
        <v>0</v>
      </c>
      <c r="AX16">
        <f t="shared" si="11"/>
        <v>0</v>
      </c>
      <c r="AY16">
        <f t="shared" si="12"/>
        <v>0</v>
      </c>
      <c r="AZ16">
        <f t="shared" si="13"/>
        <v>0</v>
      </c>
      <c r="BA16">
        <f t="shared" si="14"/>
        <v>0</v>
      </c>
      <c r="BB16">
        <f t="shared" si="15"/>
        <v>0</v>
      </c>
      <c r="BC16">
        <f t="shared" si="16"/>
        <v>0</v>
      </c>
      <c r="BD16">
        <f t="shared" si="17"/>
        <v>0</v>
      </c>
      <c r="BE16">
        <f t="shared" si="18"/>
        <v>0</v>
      </c>
      <c r="BF16">
        <f t="shared" si="19"/>
        <v>0</v>
      </c>
      <c r="BG16">
        <f t="shared" si="20"/>
        <v>0</v>
      </c>
      <c r="BH16">
        <f t="shared" si="21"/>
        <v>0</v>
      </c>
      <c r="BI16">
        <f t="shared" si="22"/>
        <v>0</v>
      </c>
      <c r="BJ16">
        <f t="shared" si="23"/>
        <v>0</v>
      </c>
      <c r="BK16">
        <f t="shared" si="24"/>
        <v>0</v>
      </c>
      <c r="BL16">
        <f t="shared" si="25"/>
        <v>0</v>
      </c>
      <c r="BM16">
        <f t="shared" si="26"/>
        <v>0</v>
      </c>
      <c r="BN16">
        <f t="shared" si="27"/>
        <v>0</v>
      </c>
      <c r="BO16">
        <f t="shared" si="28"/>
        <v>0</v>
      </c>
      <c r="BP16">
        <f t="shared" si="29"/>
        <v>0</v>
      </c>
      <c r="BQ16">
        <f t="shared" si="30"/>
        <v>0</v>
      </c>
      <c r="BT16" cm="1">
        <f t="array" ref="BT16">IF(A16="","",MAX(FREQUENCY(IF(AM16:BQ16=1,COLUMN(AM16:BQ16)),IF(AM16:BQ16=0,COLUMN(AM16:BQ16)))))</f>
        <v>0</v>
      </c>
    </row>
    <row r="17" spans="1:72">
      <c r="A17">
        <f>Dashboard!B35</f>
        <v>0</v>
      </c>
      <c r="B17">
        <f>Dashboard!C35</f>
        <v>0</v>
      </c>
      <c r="C17">
        <f>Dashboard!D35</f>
        <v>0</v>
      </c>
      <c r="D17">
        <f>Dashboard!E35</f>
        <v>0</v>
      </c>
      <c r="E17">
        <f>Dashboard!F35</f>
        <v>0</v>
      </c>
      <c r="F17">
        <f>Dashboard!G35</f>
        <v>0</v>
      </c>
      <c r="AM17">
        <f t="shared" si="0"/>
        <v>0</v>
      </c>
      <c r="AN17">
        <f t="shared" si="1"/>
        <v>0</v>
      </c>
      <c r="AO17">
        <f t="shared" si="2"/>
        <v>0</v>
      </c>
      <c r="AP17">
        <f t="shared" si="3"/>
        <v>0</v>
      </c>
      <c r="AQ17">
        <f t="shared" si="4"/>
        <v>0</v>
      </c>
      <c r="AR17">
        <f t="shared" si="5"/>
        <v>0</v>
      </c>
      <c r="AS17">
        <f t="shared" si="6"/>
        <v>0</v>
      </c>
      <c r="AT17">
        <f t="shared" si="7"/>
        <v>0</v>
      </c>
      <c r="AU17">
        <f t="shared" si="8"/>
        <v>0</v>
      </c>
      <c r="AV17">
        <f t="shared" si="9"/>
        <v>0</v>
      </c>
      <c r="AW17">
        <f t="shared" si="10"/>
        <v>0</v>
      </c>
      <c r="AX17">
        <f t="shared" si="11"/>
        <v>0</v>
      </c>
      <c r="AY17">
        <f t="shared" si="12"/>
        <v>0</v>
      </c>
      <c r="AZ17">
        <f t="shared" si="13"/>
        <v>0</v>
      </c>
      <c r="BA17">
        <f t="shared" si="14"/>
        <v>0</v>
      </c>
      <c r="BB17">
        <f t="shared" si="15"/>
        <v>0</v>
      </c>
      <c r="BC17">
        <f t="shared" si="16"/>
        <v>0</v>
      </c>
      <c r="BD17">
        <f t="shared" si="17"/>
        <v>0</v>
      </c>
      <c r="BE17">
        <f t="shared" si="18"/>
        <v>0</v>
      </c>
      <c r="BF17">
        <f t="shared" si="19"/>
        <v>0</v>
      </c>
      <c r="BG17">
        <f t="shared" si="20"/>
        <v>0</v>
      </c>
      <c r="BH17">
        <f t="shared" si="21"/>
        <v>0</v>
      </c>
      <c r="BI17">
        <f t="shared" si="22"/>
        <v>0</v>
      </c>
      <c r="BJ17">
        <f t="shared" si="23"/>
        <v>0</v>
      </c>
      <c r="BK17">
        <f t="shared" si="24"/>
        <v>0</v>
      </c>
      <c r="BL17">
        <f t="shared" si="25"/>
        <v>0</v>
      </c>
      <c r="BM17">
        <f t="shared" si="26"/>
        <v>0</v>
      </c>
      <c r="BN17">
        <f t="shared" si="27"/>
        <v>0</v>
      </c>
      <c r="BO17">
        <f t="shared" si="28"/>
        <v>0</v>
      </c>
      <c r="BP17">
        <f t="shared" si="29"/>
        <v>0</v>
      </c>
      <c r="BQ17">
        <f t="shared" si="30"/>
        <v>0</v>
      </c>
      <c r="BT17" cm="1">
        <f t="array" ref="BT17">IF(A17="","",MAX(FREQUENCY(IF(AM17:BQ17=1,COLUMN(AM17:BQ17)),IF(AM17:BQ17=0,COLUMN(AM17:BQ17)))))</f>
        <v>0</v>
      </c>
    </row>
    <row r="18" spans="1:72">
      <c r="A18">
        <f>Dashboard!B36</f>
        <v>0</v>
      </c>
      <c r="B18">
        <f>Dashboard!C36</f>
        <v>0</v>
      </c>
      <c r="C18">
        <f>Dashboard!D36</f>
        <v>0</v>
      </c>
      <c r="D18">
        <f>Dashboard!E36</f>
        <v>0</v>
      </c>
      <c r="E18">
        <f>Dashboard!F36</f>
        <v>0</v>
      </c>
      <c r="F18">
        <f>Dashboard!G36</f>
        <v>0</v>
      </c>
      <c r="AM18">
        <f t="shared" si="0"/>
        <v>0</v>
      </c>
      <c r="AN18">
        <f t="shared" si="1"/>
        <v>0</v>
      </c>
      <c r="AO18">
        <f t="shared" si="2"/>
        <v>0</v>
      </c>
      <c r="AP18">
        <f t="shared" si="3"/>
        <v>0</v>
      </c>
      <c r="AQ18">
        <f t="shared" si="4"/>
        <v>0</v>
      </c>
      <c r="AR18">
        <f t="shared" si="5"/>
        <v>0</v>
      </c>
      <c r="AS18">
        <f t="shared" si="6"/>
        <v>0</v>
      </c>
      <c r="AT18">
        <f t="shared" si="7"/>
        <v>0</v>
      </c>
      <c r="AU18">
        <f t="shared" si="8"/>
        <v>0</v>
      </c>
      <c r="AV18">
        <f t="shared" si="9"/>
        <v>0</v>
      </c>
      <c r="AW18">
        <f t="shared" si="10"/>
        <v>0</v>
      </c>
      <c r="AX18">
        <f t="shared" si="11"/>
        <v>0</v>
      </c>
      <c r="AY18">
        <f t="shared" si="12"/>
        <v>0</v>
      </c>
      <c r="AZ18">
        <f t="shared" si="13"/>
        <v>0</v>
      </c>
      <c r="BA18">
        <f t="shared" si="14"/>
        <v>0</v>
      </c>
      <c r="BB18">
        <f t="shared" si="15"/>
        <v>0</v>
      </c>
      <c r="BC18">
        <f t="shared" si="16"/>
        <v>0</v>
      </c>
      <c r="BD18">
        <f t="shared" si="17"/>
        <v>0</v>
      </c>
      <c r="BE18">
        <f t="shared" si="18"/>
        <v>0</v>
      </c>
      <c r="BF18">
        <f t="shared" si="19"/>
        <v>0</v>
      </c>
      <c r="BG18">
        <f t="shared" si="20"/>
        <v>0</v>
      </c>
      <c r="BH18">
        <f t="shared" si="21"/>
        <v>0</v>
      </c>
      <c r="BI18">
        <f t="shared" si="22"/>
        <v>0</v>
      </c>
      <c r="BJ18">
        <f t="shared" si="23"/>
        <v>0</v>
      </c>
      <c r="BK18">
        <f t="shared" si="24"/>
        <v>0</v>
      </c>
      <c r="BL18">
        <f t="shared" si="25"/>
        <v>0</v>
      </c>
      <c r="BM18">
        <f t="shared" si="26"/>
        <v>0</v>
      </c>
      <c r="BN18">
        <f t="shared" si="27"/>
        <v>0</v>
      </c>
      <c r="BO18">
        <f t="shared" si="28"/>
        <v>0</v>
      </c>
      <c r="BP18">
        <f t="shared" si="29"/>
        <v>0</v>
      </c>
      <c r="BQ18">
        <f t="shared" si="30"/>
        <v>0</v>
      </c>
      <c r="BT18" cm="1">
        <f t="array" ref="BT18">IF(A18="","",MAX(FREQUENCY(IF(AM18:BQ18=1,COLUMN(AM18:BQ18)),IF(AM18:BQ18=0,COLUMN(AM18:BQ18)))))</f>
        <v>0</v>
      </c>
    </row>
    <row r="19" spans="1:72">
      <c r="A19">
        <f>Dashboard!B37</f>
        <v>0</v>
      </c>
      <c r="B19">
        <f>Dashboard!C37</f>
        <v>0</v>
      </c>
      <c r="C19">
        <f>Dashboard!D37</f>
        <v>0</v>
      </c>
      <c r="D19">
        <f>Dashboard!E37</f>
        <v>0</v>
      </c>
      <c r="E19">
        <f>Dashboard!F37</f>
        <v>0</v>
      </c>
      <c r="F19">
        <f>Dashboard!G37</f>
        <v>0</v>
      </c>
      <c r="AM19">
        <f t="shared" si="0"/>
        <v>0</v>
      </c>
      <c r="AN19">
        <f t="shared" si="1"/>
        <v>0</v>
      </c>
      <c r="AO19">
        <f t="shared" si="2"/>
        <v>0</v>
      </c>
      <c r="AP19">
        <f t="shared" si="3"/>
        <v>0</v>
      </c>
      <c r="AQ19">
        <f t="shared" si="4"/>
        <v>0</v>
      </c>
      <c r="AR19">
        <f t="shared" si="5"/>
        <v>0</v>
      </c>
      <c r="AS19">
        <f t="shared" si="6"/>
        <v>0</v>
      </c>
      <c r="AT19">
        <f t="shared" si="7"/>
        <v>0</v>
      </c>
      <c r="AU19">
        <f t="shared" si="8"/>
        <v>0</v>
      </c>
      <c r="AV19">
        <f t="shared" si="9"/>
        <v>0</v>
      </c>
      <c r="AW19">
        <f t="shared" si="10"/>
        <v>0</v>
      </c>
      <c r="AX19">
        <f t="shared" si="11"/>
        <v>0</v>
      </c>
      <c r="AY19">
        <f t="shared" si="12"/>
        <v>0</v>
      </c>
      <c r="AZ19">
        <f t="shared" si="13"/>
        <v>0</v>
      </c>
      <c r="BA19">
        <f t="shared" si="14"/>
        <v>0</v>
      </c>
      <c r="BB19">
        <f t="shared" si="15"/>
        <v>0</v>
      </c>
      <c r="BC19">
        <f t="shared" si="16"/>
        <v>0</v>
      </c>
      <c r="BD19">
        <f t="shared" si="17"/>
        <v>0</v>
      </c>
      <c r="BE19">
        <f t="shared" si="18"/>
        <v>0</v>
      </c>
      <c r="BF19">
        <f t="shared" si="19"/>
        <v>0</v>
      </c>
      <c r="BG19">
        <f t="shared" si="20"/>
        <v>0</v>
      </c>
      <c r="BH19">
        <f t="shared" si="21"/>
        <v>0</v>
      </c>
      <c r="BI19">
        <f t="shared" si="22"/>
        <v>0</v>
      </c>
      <c r="BJ19">
        <f t="shared" si="23"/>
        <v>0</v>
      </c>
      <c r="BK19">
        <f t="shared" si="24"/>
        <v>0</v>
      </c>
      <c r="BL19">
        <f t="shared" si="25"/>
        <v>0</v>
      </c>
      <c r="BM19">
        <f t="shared" si="26"/>
        <v>0</v>
      </c>
      <c r="BN19">
        <f t="shared" si="27"/>
        <v>0</v>
      </c>
      <c r="BO19">
        <f t="shared" si="28"/>
        <v>0</v>
      </c>
      <c r="BP19">
        <f t="shared" si="29"/>
        <v>0</v>
      </c>
      <c r="BQ19">
        <f t="shared" si="30"/>
        <v>0</v>
      </c>
      <c r="BT19" cm="1">
        <f t="array" ref="BT19">IF(A19="","",MAX(FREQUENCY(IF(AM19:BQ19=1,COLUMN(AM19:BQ19)),IF(AM19:BQ19=0,COLUMN(AM19:BQ19)))))</f>
        <v>0</v>
      </c>
    </row>
    <row r="20" spans="1:72">
      <c r="A20">
        <f>Dashboard!B38</f>
        <v>0</v>
      </c>
      <c r="B20">
        <f>Dashboard!C38</f>
        <v>0</v>
      </c>
      <c r="C20">
        <f>Dashboard!D38</f>
        <v>0</v>
      </c>
      <c r="D20">
        <f>Dashboard!E38</f>
        <v>0</v>
      </c>
      <c r="E20">
        <f>Dashboard!F38</f>
        <v>0</v>
      </c>
      <c r="F20">
        <f>Dashboard!G38</f>
        <v>0</v>
      </c>
      <c r="AM20">
        <f t="shared" si="0"/>
        <v>0</v>
      </c>
      <c r="AN20">
        <f t="shared" si="1"/>
        <v>0</v>
      </c>
      <c r="AO20">
        <f t="shared" si="2"/>
        <v>0</v>
      </c>
      <c r="AP20">
        <f t="shared" si="3"/>
        <v>0</v>
      </c>
      <c r="AQ20">
        <f t="shared" si="4"/>
        <v>0</v>
      </c>
      <c r="AR20">
        <f t="shared" si="5"/>
        <v>0</v>
      </c>
      <c r="AS20">
        <f t="shared" si="6"/>
        <v>0</v>
      </c>
      <c r="AT20">
        <f t="shared" si="7"/>
        <v>0</v>
      </c>
      <c r="AU20">
        <f t="shared" si="8"/>
        <v>0</v>
      </c>
      <c r="AV20">
        <f t="shared" si="9"/>
        <v>0</v>
      </c>
      <c r="AW20">
        <f t="shared" si="10"/>
        <v>0</v>
      </c>
      <c r="AX20">
        <f t="shared" si="11"/>
        <v>0</v>
      </c>
      <c r="AY20">
        <f t="shared" si="12"/>
        <v>0</v>
      </c>
      <c r="AZ20">
        <f t="shared" si="13"/>
        <v>0</v>
      </c>
      <c r="BA20">
        <f t="shared" si="14"/>
        <v>0</v>
      </c>
      <c r="BB20">
        <f t="shared" si="15"/>
        <v>0</v>
      </c>
      <c r="BC20">
        <f t="shared" si="16"/>
        <v>0</v>
      </c>
      <c r="BD20">
        <f t="shared" si="17"/>
        <v>0</v>
      </c>
      <c r="BE20">
        <f t="shared" si="18"/>
        <v>0</v>
      </c>
      <c r="BF20">
        <f t="shared" si="19"/>
        <v>0</v>
      </c>
      <c r="BG20">
        <f t="shared" si="20"/>
        <v>0</v>
      </c>
      <c r="BH20">
        <f t="shared" si="21"/>
        <v>0</v>
      </c>
      <c r="BI20">
        <f t="shared" si="22"/>
        <v>0</v>
      </c>
      <c r="BJ20">
        <f t="shared" si="23"/>
        <v>0</v>
      </c>
      <c r="BK20">
        <f t="shared" si="24"/>
        <v>0</v>
      </c>
      <c r="BL20">
        <f t="shared" si="25"/>
        <v>0</v>
      </c>
      <c r="BM20">
        <f t="shared" si="26"/>
        <v>0</v>
      </c>
      <c r="BN20">
        <f t="shared" si="27"/>
        <v>0</v>
      </c>
      <c r="BO20">
        <f t="shared" si="28"/>
        <v>0</v>
      </c>
      <c r="BP20">
        <f t="shared" si="29"/>
        <v>0</v>
      </c>
      <c r="BQ20">
        <f t="shared" si="30"/>
        <v>0</v>
      </c>
      <c r="BT20" cm="1">
        <f t="array" ref="BT20">IF(A20="","",MAX(FREQUENCY(IF(AM20:BQ20=1,COLUMN(AM20:BQ20)),IF(AM20:BQ20=0,COLUMN(AM20:BQ20)))))</f>
        <v>0</v>
      </c>
    </row>
    <row r="21" spans="1:72">
      <c r="A21">
        <f>Dashboard!B39</f>
        <v>0</v>
      </c>
      <c r="B21">
        <f>Dashboard!C39</f>
        <v>0</v>
      </c>
      <c r="C21">
        <f>Dashboard!D39</f>
        <v>0</v>
      </c>
      <c r="D21">
        <f>Dashboard!E39</f>
        <v>0</v>
      </c>
      <c r="E21">
        <f>Dashboard!F39</f>
        <v>0</v>
      </c>
      <c r="F21">
        <f>Dashboard!G39</f>
        <v>0</v>
      </c>
      <c r="AM21">
        <f t="shared" si="0"/>
        <v>0</v>
      </c>
      <c r="AN21">
        <f t="shared" si="1"/>
        <v>0</v>
      </c>
      <c r="AO21">
        <f t="shared" si="2"/>
        <v>0</v>
      </c>
      <c r="AP21">
        <f t="shared" si="3"/>
        <v>0</v>
      </c>
      <c r="AQ21">
        <f t="shared" si="4"/>
        <v>0</v>
      </c>
      <c r="AR21">
        <f t="shared" si="5"/>
        <v>0</v>
      </c>
      <c r="AS21">
        <f t="shared" si="6"/>
        <v>0</v>
      </c>
      <c r="AT21">
        <f t="shared" si="7"/>
        <v>0</v>
      </c>
      <c r="AU21">
        <f t="shared" si="8"/>
        <v>0</v>
      </c>
      <c r="AV21">
        <f t="shared" si="9"/>
        <v>0</v>
      </c>
      <c r="AW21">
        <f t="shared" si="10"/>
        <v>0</v>
      </c>
      <c r="AX21">
        <f t="shared" si="11"/>
        <v>0</v>
      </c>
      <c r="AY21">
        <f t="shared" si="12"/>
        <v>0</v>
      </c>
      <c r="AZ21">
        <f t="shared" si="13"/>
        <v>0</v>
      </c>
      <c r="BA21">
        <f t="shared" si="14"/>
        <v>0</v>
      </c>
      <c r="BB21">
        <f t="shared" si="15"/>
        <v>0</v>
      </c>
      <c r="BC21">
        <f t="shared" si="16"/>
        <v>0</v>
      </c>
      <c r="BD21">
        <f t="shared" si="17"/>
        <v>0</v>
      </c>
      <c r="BE21">
        <f t="shared" si="18"/>
        <v>0</v>
      </c>
      <c r="BF21">
        <f t="shared" si="19"/>
        <v>0</v>
      </c>
      <c r="BG21">
        <f t="shared" si="20"/>
        <v>0</v>
      </c>
      <c r="BH21">
        <f t="shared" si="21"/>
        <v>0</v>
      </c>
      <c r="BI21">
        <f t="shared" si="22"/>
        <v>0</v>
      </c>
      <c r="BJ21">
        <f t="shared" si="23"/>
        <v>0</v>
      </c>
      <c r="BK21">
        <f t="shared" si="24"/>
        <v>0</v>
      </c>
      <c r="BL21">
        <f t="shared" si="25"/>
        <v>0</v>
      </c>
      <c r="BM21">
        <f t="shared" si="26"/>
        <v>0</v>
      </c>
      <c r="BN21">
        <f t="shared" si="27"/>
        <v>0</v>
      </c>
      <c r="BO21">
        <f t="shared" si="28"/>
        <v>0</v>
      </c>
      <c r="BP21">
        <f t="shared" si="29"/>
        <v>0</v>
      </c>
      <c r="BQ21">
        <f t="shared" si="30"/>
        <v>0</v>
      </c>
      <c r="BT21" cm="1">
        <f t="array" ref="BT21">IF(A21="","",MAX(FREQUENCY(IF(AM21:BQ21=1,COLUMN(AM21:BQ21)),IF(AM21:BQ21=0,COLUMN(AM21:BQ21)))))</f>
        <v>0</v>
      </c>
    </row>
    <row r="22" spans="1:72">
      <c r="A22">
        <f>Dashboard!B40</f>
        <v>0</v>
      </c>
      <c r="B22">
        <f>Dashboard!C40</f>
        <v>0</v>
      </c>
      <c r="C22">
        <f>Dashboard!D40</f>
        <v>0</v>
      </c>
      <c r="D22">
        <f>Dashboard!E40</f>
        <v>0</v>
      </c>
      <c r="E22">
        <f>Dashboard!F40</f>
        <v>0</v>
      </c>
      <c r="F22">
        <f>Dashboard!G40</f>
        <v>0</v>
      </c>
      <c r="AM22">
        <f t="shared" si="0"/>
        <v>0</v>
      </c>
      <c r="AN22">
        <f t="shared" si="1"/>
        <v>0</v>
      </c>
      <c r="AO22">
        <f t="shared" si="2"/>
        <v>0</v>
      </c>
      <c r="AP22">
        <f t="shared" si="3"/>
        <v>0</v>
      </c>
      <c r="AQ22">
        <f t="shared" si="4"/>
        <v>0</v>
      </c>
      <c r="AR22">
        <f t="shared" si="5"/>
        <v>0</v>
      </c>
      <c r="AS22">
        <f t="shared" si="6"/>
        <v>0</v>
      </c>
      <c r="AT22">
        <f t="shared" si="7"/>
        <v>0</v>
      </c>
      <c r="AU22">
        <f t="shared" si="8"/>
        <v>0</v>
      </c>
      <c r="AV22">
        <f t="shared" si="9"/>
        <v>0</v>
      </c>
      <c r="AW22">
        <f t="shared" si="10"/>
        <v>0</v>
      </c>
      <c r="AX22">
        <f t="shared" si="11"/>
        <v>0</v>
      </c>
      <c r="AY22">
        <f t="shared" si="12"/>
        <v>0</v>
      </c>
      <c r="AZ22">
        <f t="shared" si="13"/>
        <v>0</v>
      </c>
      <c r="BA22">
        <f t="shared" si="14"/>
        <v>0</v>
      </c>
      <c r="BB22">
        <f t="shared" si="15"/>
        <v>0</v>
      </c>
      <c r="BC22">
        <f t="shared" si="16"/>
        <v>0</v>
      </c>
      <c r="BD22">
        <f t="shared" si="17"/>
        <v>0</v>
      </c>
      <c r="BE22">
        <f t="shared" si="18"/>
        <v>0</v>
      </c>
      <c r="BF22">
        <f t="shared" si="19"/>
        <v>0</v>
      </c>
      <c r="BG22">
        <f t="shared" si="20"/>
        <v>0</v>
      </c>
      <c r="BH22">
        <f t="shared" si="21"/>
        <v>0</v>
      </c>
      <c r="BI22">
        <f t="shared" si="22"/>
        <v>0</v>
      </c>
      <c r="BJ22">
        <f t="shared" si="23"/>
        <v>0</v>
      </c>
      <c r="BK22">
        <f t="shared" si="24"/>
        <v>0</v>
      </c>
      <c r="BL22">
        <f t="shared" si="25"/>
        <v>0</v>
      </c>
      <c r="BM22">
        <f t="shared" si="26"/>
        <v>0</v>
      </c>
      <c r="BN22">
        <f t="shared" si="27"/>
        <v>0</v>
      </c>
      <c r="BO22">
        <f t="shared" si="28"/>
        <v>0</v>
      </c>
      <c r="BP22">
        <f t="shared" si="29"/>
        <v>0</v>
      </c>
      <c r="BQ22">
        <f t="shared" si="30"/>
        <v>0</v>
      </c>
      <c r="BT22" cm="1">
        <f t="array" ref="BT22">IF(A22="","",MAX(FREQUENCY(IF(AM22:BQ22=1,COLUMN(AM22:BQ22)),IF(AM22:BQ22=0,COLUMN(AM22:BQ22)))))</f>
        <v>0</v>
      </c>
    </row>
    <row r="23" spans="1:72">
      <c r="A23">
        <f>Dashboard!B41</f>
        <v>0</v>
      </c>
      <c r="B23">
        <f>Dashboard!C41</f>
        <v>0</v>
      </c>
      <c r="C23">
        <f>Dashboard!D41</f>
        <v>0</v>
      </c>
      <c r="D23">
        <f>Dashboard!E41</f>
        <v>0</v>
      </c>
      <c r="E23">
        <f>Dashboard!F41</f>
        <v>0</v>
      </c>
      <c r="F23">
        <f>Dashboard!G41</f>
        <v>0</v>
      </c>
      <c r="AM23">
        <f t="shared" si="0"/>
        <v>0</v>
      </c>
      <c r="AN23">
        <f t="shared" si="1"/>
        <v>0</v>
      </c>
      <c r="AO23">
        <f t="shared" si="2"/>
        <v>0</v>
      </c>
      <c r="AP23">
        <f t="shared" si="3"/>
        <v>0</v>
      </c>
      <c r="AQ23">
        <f t="shared" si="4"/>
        <v>0</v>
      </c>
      <c r="AR23">
        <f t="shared" si="5"/>
        <v>0</v>
      </c>
      <c r="AS23">
        <f t="shared" si="6"/>
        <v>0</v>
      </c>
      <c r="AT23">
        <f t="shared" si="7"/>
        <v>0</v>
      </c>
      <c r="AU23">
        <f t="shared" si="8"/>
        <v>0</v>
      </c>
      <c r="AV23">
        <f t="shared" si="9"/>
        <v>0</v>
      </c>
      <c r="AW23">
        <f t="shared" si="10"/>
        <v>0</v>
      </c>
      <c r="AX23">
        <f t="shared" si="11"/>
        <v>0</v>
      </c>
      <c r="AY23">
        <f t="shared" si="12"/>
        <v>0</v>
      </c>
      <c r="AZ23">
        <f t="shared" si="13"/>
        <v>0</v>
      </c>
      <c r="BA23">
        <f t="shared" si="14"/>
        <v>0</v>
      </c>
      <c r="BB23">
        <f t="shared" si="15"/>
        <v>0</v>
      </c>
      <c r="BC23">
        <f t="shared" si="16"/>
        <v>0</v>
      </c>
      <c r="BD23">
        <f t="shared" si="17"/>
        <v>0</v>
      </c>
      <c r="BE23">
        <f t="shared" si="18"/>
        <v>0</v>
      </c>
      <c r="BF23">
        <f t="shared" si="19"/>
        <v>0</v>
      </c>
      <c r="BG23">
        <f t="shared" si="20"/>
        <v>0</v>
      </c>
      <c r="BH23">
        <f t="shared" si="21"/>
        <v>0</v>
      </c>
      <c r="BI23">
        <f t="shared" si="22"/>
        <v>0</v>
      </c>
      <c r="BJ23">
        <f t="shared" si="23"/>
        <v>0</v>
      </c>
      <c r="BK23">
        <f t="shared" si="24"/>
        <v>0</v>
      </c>
      <c r="BL23">
        <f t="shared" si="25"/>
        <v>0</v>
      </c>
      <c r="BM23">
        <f t="shared" si="26"/>
        <v>0</v>
      </c>
      <c r="BN23">
        <f t="shared" si="27"/>
        <v>0</v>
      </c>
      <c r="BO23">
        <f t="shared" si="28"/>
        <v>0</v>
      </c>
      <c r="BP23">
        <f t="shared" si="29"/>
        <v>0</v>
      </c>
      <c r="BQ23">
        <f t="shared" si="30"/>
        <v>0</v>
      </c>
      <c r="BT23" cm="1">
        <f t="array" ref="BT23">IF(A23="","",MAX(FREQUENCY(IF(AM23:BQ23=1,COLUMN(AM23:BQ23)),IF(AM23:BQ23=0,COLUMN(AM23:BQ23)))))</f>
        <v>0</v>
      </c>
    </row>
    <row r="24" spans="1:72">
      <c r="A24">
        <f>Dashboard!B42</f>
        <v>0</v>
      </c>
      <c r="B24">
        <f>Dashboard!C42</f>
        <v>0</v>
      </c>
      <c r="C24">
        <f>Dashboard!D42</f>
        <v>0</v>
      </c>
      <c r="D24">
        <f>Dashboard!E42</f>
        <v>0</v>
      </c>
      <c r="E24">
        <f>Dashboard!F42</f>
        <v>0</v>
      </c>
      <c r="F24">
        <f>Dashboard!G42</f>
        <v>0</v>
      </c>
      <c r="AM24">
        <f t="shared" si="0"/>
        <v>0</v>
      </c>
      <c r="AN24">
        <f t="shared" si="1"/>
        <v>0</v>
      </c>
      <c r="AO24">
        <f t="shared" si="2"/>
        <v>0</v>
      </c>
      <c r="AP24">
        <f t="shared" si="3"/>
        <v>0</v>
      </c>
      <c r="AQ24">
        <f t="shared" si="4"/>
        <v>0</v>
      </c>
      <c r="AR24">
        <f t="shared" si="5"/>
        <v>0</v>
      </c>
      <c r="AS24">
        <f t="shared" si="6"/>
        <v>0</v>
      </c>
      <c r="AT24">
        <f t="shared" si="7"/>
        <v>0</v>
      </c>
      <c r="AU24">
        <f t="shared" si="8"/>
        <v>0</v>
      </c>
      <c r="AV24">
        <f t="shared" si="9"/>
        <v>0</v>
      </c>
      <c r="AW24">
        <f t="shared" si="10"/>
        <v>0</v>
      </c>
      <c r="AX24">
        <f t="shared" si="11"/>
        <v>0</v>
      </c>
      <c r="AY24">
        <f t="shared" si="12"/>
        <v>0</v>
      </c>
      <c r="AZ24">
        <f t="shared" si="13"/>
        <v>0</v>
      </c>
      <c r="BA24">
        <f t="shared" si="14"/>
        <v>0</v>
      </c>
      <c r="BB24">
        <f t="shared" si="15"/>
        <v>0</v>
      </c>
      <c r="BC24">
        <f t="shared" si="16"/>
        <v>0</v>
      </c>
      <c r="BD24">
        <f t="shared" si="17"/>
        <v>0</v>
      </c>
      <c r="BE24">
        <f t="shared" si="18"/>
        <v>0</v>
      </c>
      <c r="BF24">
        <f t="shared" si="19"/>
        <v>0</v>
      </c>
      <c r="BG24">
        <f t="shared" si="20"/>
        <v>0</v>
      </c>
      <c r="BH24">
        <f t="shared" si="21"/>
        <v>0</v>
      </c>
      <c r="BI24">
        <f t="shared" si="22"/>
        <v>0</v>
      </c>
      <c r="BJ24">
        <f t="shared" si="23"/>
        <v>0</v>
      </c>
      <c r="BK24">
        <f t="shared" si="24"/>
        <v>0</v>
      </c>
      <c r="BL24">
        <f t="shared" si="25"/>
        <v>0</v>
      </c>
      <c r="BM24">
        <f t="shared" si="26"/>
        <v>0</v>
      </c>
      <c r="BN24">
        <f t="shared" si="27"/>
        <v>0</v>
      </c>
      <c r="BO24">
        <f t="shared" si="28"/>
        <v>0</v>
      </c>
      <c r="BP24">
        <f t="shared" si="29"/>
        <v>0</v>
      </c>
      <c r="BQ24">
        <f t="shared" si="30"/>
        <v>0</v>
      </c>
      <c r="BT24" cm="1">
        <f t="array" ref="BT24">IF(A24="","",MAX(FREQUENCY(IF(AM24:BQ24=1,COLUMN(AM24:BQ24)),IF(AM24:BQ24=0,COLUMN(AM24:BQ24)))))</f>
        <v>0</v>
      </c>
    </row>
    <row r="25" spans="1:72">
      <c r="A25">
        <f>Dashboard!B43</f>
        <v>0</v>
      </c>
      <c r="B25">
        <f>Dashboard!C43</f>
        <v>0</v>
      </c>
      <c r="C25">
        <f>Dashboard!D43</f>
        <v>0</v>
      </c>
      <c r="D25">
        <f>Dashboard!E43</f>
        <v>0</v>
      </c>
      <c r="E25">
        <f>Dashboard!F43</f>
        <v>0</v>
      </c>
      <c r="F25">
        <f>Dashboard!G43</f>
        <v>0</v>
      </c>
      <c r="AM25">
        <f t="shared" si="0"/>
        <v>0</v>
      </c>
      <c r="AN25">
        <f t="shared" si="1"/>
        <v>0</v>
      </c>
      <c r="AO25">
        <f t="shared" si="2"/>
        <v>0</v>
      </c>
      <c r="AP25">
        <f t="shared" si="3"/>
        <v>0</v>
      </c>
      <c r="AQ25">
        <f t="shared" si="4"/>
        <v>0</v>
      </c>
      <c r="AR25">
        <f t="shared" si="5"/>
        <v>0</v>
      </c>
      <c r="AS25">
        <f t="shared" si="6"/>
        <v>0</v>
      </c>
      <c r="AT25">
        <f t="shared" si="7"/>
        <v>0</v>
      </c>
      <c r="AU25">
        <f t="shared" si="8"/>
        <v>0</v>
      </c>
      <c r="AV25">
        <f t="shared" si="9"/>
        <v>0</v>
      </c>
      <c r="AW25">
        <f t="shared" si="10"/>
        <v>0</v>
      </c>
      <c r="AX25">
        <f t="shared" si="11"/>
        <v>0</v>
      </c>
      <c r="AY25">
        <f t="shared" si="12"/>
        <v>0</v>
      </c>
      <c r="AZ25">
        <f t="shared" si="13"/>
        <v>0</v>
      </c>
      <c r="BA25">
        <f t="shared" si="14"/>
        <v>0</v>
      </c>
      <c r="BB25">
        <f t="shared" si="15"/>
        <v>0</v>
      </c>
      <c r="BC25">
        <f t="shared" si="16"/>
        <v>0</v>
      </c>
      <c r="BD25">
        <f t="shared" si="17"/>
        <v>0</v>
      </c>
      <c r="BE25">
        <f t="shared" si="18"/>
        <v>0</v>
      </c>
      <c r="BF25">
        <f t="shared" si="19"/>
        <v>0</v>
      </c>
      <c r="BG25">
        <f t="shared" si="20"/>
        <v>0</v>
      </c>
      <c r="BH25">
        <f t="shared" si="21"/>
        <v>0</v>
      </c>
      <c r="BI25">
        <f t="shared" si="22"/>
        <v>0</v>
      </c>
      <c r="BJ25">
        <f t="shared" si="23"/>
        <v>0</v>
      </c>
      <c r="BK25">
        <f t="shared" si="24"/>
        <v>0</v>
      </c>
      <c r="BL25">
        <f t="shared" si="25"/>
        <v>0</v>
      </c>
      <c r="BM25">
        <f t="shared" si="26"/>
        <v>0</v>
      </c>
      <c r="BN25">
        <f t="shared" si="27"/>
        <v>0</v>
      </c>
      <c r="BO25">
        <f t="shared" si="28"/>
        <v>0</v>
      </c>
      <c r="BP25">
        <f t="shared" si="29"/>
        <v>0</v>
      </c>
      <c r="BQ25">
        <f t="shared" si="30"/>
        <v>0</v>
      </c>
      <c r="BT25" cm="1">
        <f t="array" ref="BT25">IF(A25="","",MAX(FREQUENCY(IF(AM25:BQ25=1,COLUMN(AM25:BQ25)),IF(AM25:BQ25=0,COLUMN(AM25:BQ25)))))</f>
        <v>0</v>
      </c>
    </row>
    <row r="26" spans="1:72">
      <c r="A26">
        <f>Dashboard!B44</f>
        <v>0</v>
      </c>
      <c r="B26">
        <f>Dashboard!C44</f>
        <v>0</v>
      </c>
      <c r="C26">
        <f>Dashboard!D44</f>
        <v>0</v>
      </c>
      <c r="D26">
        <f>Dashboard!E44</f>
        <v>0</v>
      </c>
      <c r="E26">
        <f>Dashboard!F44</f>
        <v>0</v>
      </c>
      <c r="F26">
        <f>Dashboard!G44</f>
        <v>0</v>
      </c>
      <c r="AM26">
        <f t="shared" si="0"/>
        <v>0</v>
      </c>
      <c r="AN26">
        <f t="shared" si="1"/>
        <v>0</v>
      </c>
      <c r="AO26">
        <f t="shared" si="2"/>
        <v>0</v>
      </c>
      <c r="AP26">
        <f t="shared" si="3"/>
        <v>0</v>
      </c>
      <c r="AQ26">
        <f t="shared" si="4"/>
        <v>0</v>
      </c>
      <c r="AR26">
        <f t="shared" si="5"/>
        <v>0</v>
      </c>
      <c r="AS26">
        <f t="shared" si="6"/>
        <v>0</v>
      </c>
      <c r="AT26">
        <f t="shared" si="7"/>
        <v>0</v>
      </c>
      <c r="AU26">
        <f t="shared" si="8"/>
        <v>0</v>
      </c>
      <c r="AV26">
        <f t="shared" si="9"/>
        <v>0</v>
      </c>
      <c r="AW26">
        <f t="shared" si="10"/>
        <v>0</v>
      </c>
      <c r="AX26">
        <f t="shared" si="11"/>
        <v>0</v>
      </c>
      <c r="AY26">
        <f t="shared" si="12"/>
        <v>0</v>
      </c>
      <c r="AZ26">
        <f t="shared" si="13"/>
        <v>0</v>
      </c>
      <c r="BA26">
        <f t="shared" si="14"/>
        <v>0</v>
      </c>
      <c r="BB26">
        <f t="shared" si="15"/>
        <v>0</v>
      </c>
      <c r="BC26">
        <f t="shared" si="16"/>
        <v>0</v>
      </c>
      <c r="BD26">
        <f t="shared" si="17"/>
        <v>0</v>
      </c>
      <c r="BE26">
        <f t="shared" si="18"/>
        <v>0</v>
      </c>
      <c r="BF26">
        <f t="shared" si="19"/>
        <v>0</v>
      </c>
      <c r="BG26">
        <f t="shared" si="20"/>
        <v>0</v>
      </c>
      <c r="BH26">
        <f t="shared" si="21"/>
        <v>0</v>
      </c>
      <c r="BI26">
        <f t="shared" si="22"/>
        <v>0</v>
      </c>
      <c r="BJ26">
        <f t="shared" si="23"/>
        <v>0</v>
      </c>
      <c r="BK26">
        <f t="shared" si="24"/>
        <v>0</v>
      </c>
      <c r="BL26">
        <f t="shared" si="25"/>
        <v>0</v>
      </c>
      <c r="BM26">
        <f t="shared" si="26"/>
        <v>0</v>
      </c>
      <c r="BN26">
        <f t="shared" si="27"/>
        <v>0</v>
      </c>
      <c r="BO26">
        <f t="shared" si="28"/>
        <v>0</v>
      </c>
      <c r="BP26">
        <f t="shared" si="29"/>
        <v>0</v>
      </c>
      <c r="BQ26">
        <f t="shared" si="30"/>
        <v>0</v>
      </c>
      <c r="BT26" cm="1">
        <f t="array" ref="BT26">IF(A26="","",MAX(FREQUENCY(IF(AM26:BQ26=1,COLUMN(AM26:BQ26)),IF(AM26:BQ26=0,COLUMN(AM26:BQ26)))))</f>
        <v>0</v>
      </c>
    </row>
    <row r="27" spans="1:72">
      <c r="A27">
        <f>Dashboard!B45</f>
        <v>0</v>
      </c>
      <c r="B27">
        <f>Dashboard!C45</f>
        <v>0</v>
      </c>
      <c r="C27">
        <f>Dashboard!D45</f>
        <v>0</v>
      </c>
      <c r="D27">
        <f>Dashboard!E45</f>
        <v>0</v>
      </c>
      <c r="E27">
        <f>Dashboard!F45</f>
        <v>0</v>
      </c>
      <c r="F27">
        <f>Dashboard!G45</f>
        <v>0</v>
      </c>
      <c r="AM27">
        <f t="shared" si="0"/>
        <v>0</v>
      </c>
      <c r="AN27">
        <f t="shared" si="1"/>
        <v>0</v>
      </c>
      <c r="AO27">
        <f t="shared" si="2"/>
        <v>0</v>
      </c>
      <c r="AP27">
        <f t="shared" si="3"/>
        <v>0</v>
      </c>
      <c r="AQ27">
        <f t="shared" si="4"/>
        <v>0</v>
      </c>
      <c r="AR27">
        <f t="shared" si="5"/>
        <v>0</v>
      </c>
      <c r="AS27">
        <f t="shared" si="6"/>
        <v>0</v>
      </c>
      <c r="AT27">
        <f t="shared" si="7"/>
        <v>0</v>
      </c>
      <c r="AU27">
        <f t="shared" si="8"/>
        <v>0</v>
      </c>
      <c r="AV27">
        <f t="shared" si="9"/>
        <v>0</v>
      </c>
      <c r="AW27">
        <f t="shared" si="10"/>
        <v>0</v>
      </c>
      <c r="AX27">
        <f t="shared" si="11"/>
        <v>0</v>
      </c>
      <c r="AY27">
        <f t="shared" si="12"/>
        <v>0</v>
      </c>
      <c r="AZ27">
        <f t="shared" si="13"/>
        <v>0</v>
      </c>
      <c r="BA27">
        <f t="shared" si="14"/>
        <v>0</v>
      </c>
      <c r="BB27">
        <f t="shared" si="15"/>
        <v>0</v>
      </c>
      <c r="BC27">
        <f t="shared" si="16"/>
        <v>0</v>
      </c>
      <c r="BD27">
        <f t="shared" si="17"/>
        <v>0</v>
      </c>
      <c r="BE27">
        <f t="shared" si="18"/>
        <v>0</v>
      </c>
      <c r="BF27">
        <f t="shared" si="19"/>
        <v>0</v>
      </c>
      <c r="BG27">
        <f t="shared" si="20"/>
        <v>0</v>
      </c>
      <c r="BH27">
        <f t="shared" si="21"/>
        <v>0</v>
      </c>
      <c r="BI27">
        <f t="shared" si="22"/>
        <v>0</v>
      </c>
      <c r="BJ27">
        <f t="shared" si="23"/>
        <v>0</v>
      </c>
      <c r="BK27">
        <f t="shared" si="24"/>
        <v>0</v>
      </c>
      <c r="BL27">
        <f t="shared" si="25"/>
        <v>0</v>
      </c>
      <c r="BM27">
        <f t="shared" si="26"/>
        <v>0</v>
      </c>
      <c r="BN27">
        <f t="shared" si="27"/>
        <v>0</v>
      </c>
      <c r="BO27">
        <f t="shared" si="28"/>
        <v>0</v>
      </c>
      <c r="BP27">
        <f t="shared" si="29"/>
        <v>0</v>
      </c>
      <c r="BQ27">
        <f t="shared" si="30"/>
        <v>0</v>
      </c>
      <c r="BT27" cm="1">
        <f t="array" ref="BT27">IF(A27="","",MAX(FREQUENCY(IF(AM27:BQ27=1,COLUMN(AM27:BQ27)),IF(AM27:BQ27=0,COLUMN(AM27:BQ27)))))</f>
        <v>0</v>
      </c>
    </row>
    <row r="28" spans="1:72">
      <c r="A28">
        <f>Dashboard!B46</f>
        <v>0</v>
      </c>
      <c r="B28">
        <f>Dashboard!C46</f>
        <v>0</v>
      </c>
      <c r="C28">
        <f>Dashboard!D46</f>
        <v>0</v>
      </c>
      <c r="D28">
        <f>Dashboard!E46</f>
        <v>0</v>
      </c>
      <c r="E28">
        <f>Dashboard!F46</f>
        <v>0</v>
      </c>
      <c r="F28">
        <f>Dashboard!G46</f>
        <v>0</v>
      </c>
      <c r="AM28">
        <f t="shared" si="0"/>
        <v>0</v>
      </c>
      <c r="AN28">
        <f t="shared" si="1"/>
        <v>0</v>
      </c>
      <c r="AO28">
        <f t="shared" si="2"/>
        <v>0</v>
      </c>
      <c r="AP28">
        <f t="shared" si="3"/>
        <v>0</v>
      </c>
      <c r="AQ28">
        <f t="shared" si="4"/>
        <v>0</v>
      </c>
      <c r="AR28">
        <f t="shared" si="5"/>
        <v>0</v>
      </c>
      <c r="AS28">
        <f t="shared" si="6"/>
        <v>0</v>
      </c>
      <c r="AT28">
        <f t="shared" si="7"/>
        <v>0</v>
      </c>
      <c r="AU28">
        <f t="shared" si="8"/>
        <v>0</v>
      </c>
      <c r="AV28">
        <f t="shared" si="9"/>
        <v>0</v>
      </c>
      <c r="AW28">
        <f t="shared" si="10"/>
        <v>0</v>
      </c>
      <c r="AX28">
        <f t="shared" si="11"/>
        <v>0</v>
      </c>
      <c r="AY28">
        <f t="shared" si="12"/>
        <v>0</v>
      </c>
      <c r="AZ28">
        <f t="shared" si="13"/>
        <v>0</v>
      </c>
      <c r="BA28">
        <f t="shared" si="14"/>
        <v>0</v>
      </c>
      <c r="BB28">
        <f t="shared" si="15"/>
        <v>0</v>
      </c>
      <c r="BC28">
        <f t="shared" si="16"/>
        <v>0</v>
      </c>
      <c r="BD28">
        <f t="shared" si="17"/>
        <v>0</v>
      </c>
      <c r="BE28">
        <f t="shared" si="18"/>
        <v>0</v>
      </c>
      <c r="BF28">
        <f t="shared" si="19"/>
        <v>0</v>
      </c>
      <c r="BG28">
        <f t="shared" si="20"/>
        <v>0</v>
      </c>
      <c r="BH28">
        <f t="shared" si="21"/>
        <v>0</v>
      </c>
      <c r="BI28">
        <f t="shared" si="22"/>
        <v>0</v>
      </c>
      <c r="BJ28">
        <f t="shared" si="23"/>
        <v>0</v>
      </c>
      <c r="BK28">
        <f t="shared" si="24"/>
        <v>0</v>
      </c>
      <c r="BL28">
        <f t="shared" si="25"/>
        <v>0</v>
      </c>
      <c r="BM28">
        <f t="shared" si="26"/>
        <v>0</v>
      </c>
      <c r="BN28">
        <f t="shared" si="27"/>
        <v>0</v>
      </c>
      <c r="BO28">
        <f t="shared" si="28"/>
        <v>0</v>
      </c>
      <c r="BP28">
        <f t="shared" si="29"/>
        <v>0</v>
      </c>
      <c r="BQ28">
        <f t="shared" si="30"/>
        <v>0</v>
      </c>
      <c r="BT28" cm="1">
        <f t="array" ref="BT28">IF(A28="","",MAX(FREQUENCY(IF(AM28:BQ28=1,COLUMN(AM28:BQ28)),IF(AM28:BQ28=0,COLUMN(AM28:BQ28)))))</f>
        <v>0</v>
      </c>
    </row>
    <row r="29" spans="1:72">
      <c r="A29">
        <f>Dashboard!B47</f>
        <v>0</v>
      </c>
      <c r="B29">
        <f>Dashboard!C47</f>
        <v>0</v>
      </c>
      <c r="C29">
        <f>Dashboard!D47</f>
        <v>0</v>
      </c>
      <c r="D29">
        <f>Dashboard!E47</f>
        <v>0</v>
      </c>
      <c r="E29">
        <f>Dashboard!F47</f>
        <v>0</v>
      </c>
      <c r="F29">
        <f>Dashboard!G47</f>
        <v>0</v>
      </c>
      <c r="AM29">
        <f t="shared" si="0"/>
        <v>0</v>
      </c>
      <c r="AN29">
        <f t="shared" si="1"/>
        <v>0</v>
      </c>
      <c r="AO29">
        <f t="shared" si="2"/>
        <v>0</v>
      </c>
      <c r="AP29">
        <f t="shared" si="3"/>
        <v>0</v>
      </c>
      <c r="AQ29">
        <f t="shared" si="4"/>
        <v>0</v>
      </c>
      <c r="AR29">
        <f t="shared" si="5"/>
        <v>0</v>
      </c>
      <c r="AS29">
        <f t="shared" si="6"/>
        <v>0</v>
      </c>
      <c r="AT29">
        <f t="shared" si="7"/>
        <v>0</v>
      </c>
      <c r="AU29">
        <f t="shared" si="8"/>
        <v>0</v>
      </c>
      <c r="AV29">
        <f t="shared" si="9"/>
        <v>0</v>
      </c>
      <c r="AW29">
        <f t="shared" si="10"/>
        <v>0</v>
      </c>
      <c r="AX29">
        <f t="shared" si="11"/>
        <v>0</v>
      </c>
      <c r="AY29">
        <f t="shared" si="12"/>
        <v>0</v>
      </c>
      <c r="AZ29">
        <f t="shared" si="13"/>
        <v>0</v>
      </c>
      <c r="BA29">
        <f t="shared" si="14"/>
        <v>0</v>
      </c>
      <c r="BB29">
        <f t="shared" si="15"/>
        <v>0</v>
      </c>
      <c r="BC29">
        <f t="shared" si="16"/>
        <v>0</v>
      </c>
      <c r="BD29">
        <f t="shared" si="17"/>
        <v>0</v>
      </c>
      <c r="BE29">
        <f t="shared" si="18"/>
        <v>0</v>
      </c>
      <c r="BF29">
        <f t="shared" si="19"/>
        <v>0</v>
      </c>
      <c r="BG29">
        <f t="shared" si="20"/>
        <v>0</v>
      </c>
      <c r="BH29">
        <f t="shared" si="21"/>
        <v>0</v>
      </c>
      <c r="BI29">
        <f t="shared" si="22"/>
        <v>0</v>
      </c>
      <c r="BJ29">
        <f t="shared" si="23"/>
        <v>0</v>
      </c>
      <c r="BK29">
        <f t="shared" si="24"/>
        <v>0</v>
      </c>
      <c r="BL29">
        <f t="shared" si="25"/>
        <v>0</v>
      </c>
      <c r="BM29">
        <f t="shared" si="26"/>
        <v>0</v>
      </c>
      <c r="BN29">
        <f t="shared" si="27"/>
        <v>0</v>
      </c>
      <c r="BO29">
        <f t="shared" si="28"/>
        <v>0</v>
      </c>
      <c r="BP29">
        <f t="shared" si="29"/>
        <v>0</v>
      </c>
      <c r="BQ29">
        <f t="shared" si="30"/>
        <v>0</v>
      </c>
      <c r="BT29" cm="1">
        <f t="array" ref="BT29">IF(A29="","",MAX(FREQUENCY(IF(AM29:BQ29=1,COLUMN(AM29:BQ29)),IF(AM29:BQ29=0,COLUMN(AM29:BQ29)))))</f>
        <v>0</v>
      </c>
    </row>
    <row r="30" spans="1:72">
      <c r="A30">
        <f>Dashboard!B48</f>
        <v>0</v>
      </c>
      <c r="B30">
        <f>Dashboard!C48</f>
        <v>0</v>
      </c>
      <c r="C30">
        <f>Dashboard!D48</f>
        <v>0</v>
      </c>
      <c r="D30">
        <f>Dashboard!E48</f>
        <v>0</v>
      </c>
      <c r="E30">
        <f>Dashboard!F48</f>
        <v>0</v>
      </c>
      <c r="F30">
        <f>Dashboard!G48</f>
        <v>0</v>
      </c>
      <c r="AM30">
        <f t="shared" si="0"/>
        <v>0</v>
      </c>
      <c r="AN30">
        <f t="shared" si="1"/>
        <v>0</v>
      </c>
      <c r="AO30">
        <f t="shared" si="2"/>
        <v>0</v>
      </c>
      <c r="AP30">
        <f t="shared" si="3"/>
        <v>0</v>
      </c>
      <c r="AQ30">
        <f t="shared" si="4"/>
        <v>0</v>
      </c>
      <c r="AR30">
        <f t="shared" si="5"/>
        <v>0</v>
      </c>
      <c r="AS30">
        <f t="shared" si="6"/>
        <v>0</v>
      </c>
      <c r="AT30">
        <f t="shared" si="7"/>
        <v>0</v>
      </c>
      <c r="AU30">
        <f t="shared" si="8"/>
        <v>0</v>
      </c>
      <c r="AV30">
        <f t="shared" si="9"/>
        <v>0</v>
      </c>
      <c r="AW30">
        <f t="shared" si="10"/>
        <v>0</v>
      </c>
      <c r="AX30">
        <f t="shared" si="11"/>
        <v>0</v>
      </c>
      <c r="AY30">
        <f t="shared" si="12"/>
        <v>0</v>
      </c>
      <c r="AZ30">
        <f t="shared" si="13"/>
        <v>0</v>
      </c>
      <c r="BA30">
        <f t="shared" si="14"/>
        <v>0</v>
      </c>
      <c r="BB30">
        <f t="shared" si="15"/>
        <v>0</v>
      </c>
      <c r="BC30">
        <f t="shared" si="16"/>
        <v>0</v>
      </c>
      <c r="BD30">
        <f t="shared" si="17"/>
        <v>0</v>
      </c>
      <c r="BE30">
        <f t="shared" si="18"/>
        <v>0</v>
      </c>
      <c r="BF30">
        <f t="shared" si="19"/>
        <v>0</v>
      </c>
      <c r="BG30">
        <f t="shared" si="20"/>
        <v>0</v>
      </c>
      <c r="BH30">
        <f t="shared" si="21"/>
        <v>0</v>
      </c>
      <c r="BI30">
        <f t="shared" si="22"/>
        <v>0</v>
      </c>
      <c r="BJ30">
        <f t="shared" si="23"/>
        <v>0</v>
      </c>
      <c r="BK30">
        <f t="shared" si="24"/>
        <v>0</v>
      </c>
      <c r="BL30">
        <f t="shared" si="25"/>
        <v>0</v>
      </c>
      <c r="BM30">
        <f t="shared" si="26"/>
        <v>0</v>
      </c>
      <c r="BN30">
        <f t="shared" si="27"/>
        <v>0</v>
      </c>
      <c r="BO30">
        <f t="shared" si="28"/>
        <v>0</v>
      </c>
      <c r="BP30">
        <f t="shared" si="29"/>
        <v>0</v>
      </c>
      <c r="BQ30">
        <f t="shared" si="30"/>
        <v>0</v>
      </c>
      <c r="BT30" cm="1">
        <f t="array" ref="BT30">IF(A30="","",MAX(FREQUENCY(IF(AM30:BQ30=1,COLUMN(AM30:BQ30)),IF(AM30:BQ30=0,COLUMN(AM30:BQ30)))))</f>
        <v>0</v>
      </c>
    </row>
    <row r="31" spans="1:72">
      <c r="A31">
        <f>Dashboard!B49</f>
        <v>0</v>
      </c>
      <c r="B31">
        <f>Dashboard!C49</f>
        <v>0</v>
      </c>
      <c r="C31">
        <f>Dashboard!D49</f>
        <v>0</v>
      </c>
      <c r="D31">
        <f>Dashboard!E49</f>
        <v>0</v>
      </c>
      <c r="E31">
        <f>Dashboard!F49</f>
        <v>0</v>
      </c>
      <c r="F31">
        <f>Dashboard!G49</f>
        <v>0</v>
      </c>
      <c r="AM31">
        <f t="shared" si="0"/>
        <v>0</v>
      </c>
      <c r="AN31">
        <f t="shared" si="1"/>
        <v>0</v>
      </c>
      <c r="AO31">
        <f t="shared" si="2"/>
        <v>0</v>
      </c>
      <c r="AP31">
        <f t="shared" si="3"/>
        <v>0</v>
      </c>
      <c r="AQ31">
        <f t="shared" si="4"/>
        <v>0</v>
      </c>
      <c r="AR31">
        <f t="shared" si="5"/>
        <v>0</v>
      </c>
      <c r="AS31">
        <f t="shared" si="6"/>
        <v>0</v>
      </c>
      <c r="AT31">
        <f t="shared" si="7"/>
        <v>0</v>
      </c>
      <c r="AU31">
        <f t="shared" si="8"/>
        <v>0</v>
      </c>
      <c r="AV31">
        <f t="shared" si="9"/>
        <v>0</v>
      </c>
      <c r="AW31">
        <f t="shared" si="10"/>
        <v>0</v>
      </c>
      <c r="AX31">
        <f t="shared" si="11"/>
        <v>0</v>
      </c>
      <c r="AY31">
        <f t="shared" si="12"/>
        <v>0</v>
      </c>
      <c r="AZ31">
        <f t="shared" si="13"/>
        <v>0</v>
      </c>
      <c r="BA31">
        <f t="shared" si="14"/>
        <v>0</v>
      </c>
      <c r="BB31">
        <f t="shared" si="15"/>
        <v>0</v>
      </c>
      <c r="BC31">
        <f t="shared" si="16"/>
        <v>0</v>
      </c>
      <c r="BD31">
        <f t="shared" si="17"/>
        <v>0</v>
      </c>
      <c r="BE31">
        <f t="shared" si="18"/>
        <v>0</v>
      </c>
      <c r="BF31">
        <f t="shared" si="19"/>
        <v>0</v>
      </c>
      <c r="BG31">
        <f t="shared" si="20"/>
        <v>0</v>
      </c>
      <c r="BH31">
        <f t="shared" si="21"/>
        <v>0</v>
      </c>
      <c r="BI31">
        <f t="shared" si="22"/>
        <v>0</v>
      </c>
      <c r="BJ31">
        <f t="shared" si="23"/>
        <v>0</v>
      </c>
      <c r="BK31">
        <f t="shared" si="24"/>
        <v>0</v>
      </c>
      <c r="BL31">
        <f t="shared" si="25"/>
        <v>0</v>
      </c>
      <c r="BM31">
        <f t="shared" si="26"/>
        <v>0</v>
      </c>
      <c r="BN31">
        <f t="shared" si="27"/>
        <v>0</v>
      </c>
      <c r="BO31">
        <f t="shared" si="28"/>
        <v>0</v>
      </c>
      <c r="BP31">
        <f t="shared" si="29"/>
        <v>0</v>
      </c>
      <c r="BQ31">
        <f t="shared" si="30"/>
        <v>0</v>
      </c>
      <c r="BT31" cm="1">
        <f t="array" ref="BT31">IF(A31="","",MAX(FREQUENCY(IF(AM31:BQ31=1,COLUMN(AM31:BQ31)),IF(AM31:BQ31=0,COLUMN(AM31:BQ31)))))</f>
        <v>0</v>
      </c>
    </row>
    <row r="32" spans="1:72">
      <c r="A32">
        <f>Dashboard!B50</f>
        <v>0</v>
      </c>
      <c r="B32">
        <f>Dashboard!C50</f>
        <v>0</v>
      </c>
      <c r="C32">
        <f>Dashboard!D50</f>
        <v>0</v>
      </c>
      <c r="D32">
        <f>Dashboard!E50</f>
        <v>0</v>
      </c>
      <c r="E32">
        <f>Dashboard!F50</f>
        <v>0</v>
      </c>
      <c r="F32">
        <f>Dashboard!G50</f>
        <v>0</v>
      </c>
      <c r="AM32">
        <f t="shared" si="0"/>
        <v>0</v>
      </c>
      <c r="AN32">
        <f t="shared" si="1"/>
        <v>0</v>
      </c>
      <c r="AO32">
        <f t="shared" si="2"/>
        <v>0</v>
      </c>
      <c r="AP32">
        <f t="shared" si="3"/>
        <v>0</v>
      </c>
      <c r="AQ32">
        <f t="shared" si="4"/>
        <v>0</v>
      </c>
      <c r="AR32">
        <f t="shared" si="5"/>
        <v>0</v>
      </c>
      <c r="AS32">
        <f t="shared" si="6"/>
        <v>0</v>
      </c>
      <c r="AT32">
        <f t="shared" si="7"/>
        <v>0</v>
      </c>
      <c r="AU32">
        <f t="shared" si="8"/>
        <v>0</v>
      </c>
      <c r="AV32">
        <f t="shared" si="9"/>
        <v>0</v>
      </c>
      <c r="AW32">
        <f t="shared" si="10"/>
        <v>0</v>
      </c>
      <c r="AX32">
        <f t="shared" si="11"/>
        <v>0</v>
      </c>
      <c r="AY32">
        <f t="shared" si="12"/>
        <v>0</v>
      </c>
      <c r="AZ32">
        <f t="shared" si="13"/>
        <v>0</v>
      </c>
      <c r="BA32">
        <f t="shared" si="14"/>
        <v>0</v>
      </c>
      <c r="BB32">
        <f t="shared" si="15"/>
        <v>0</v>
      </c>
      <c r="BC32">
        <f t="shared" si="16"/>
        <v>0</v>
      </c>
      <c r="BD32">
        <f t="shared" si="17"/>
        <v>0</v>
      </c>
      <c r="BE32">
        <f t="shared" si="18"/>
        <v>0</v>
      </c>
      <c r="BF32">
        <f t="shared" si="19"/>
        <v>0</v>
      </c>
      <c r="BG32">
        <f t="shared" si="20"/>
        <v>0</v>
      </c>
      <c r="BH32">
        <f t="shared" si="21"/>
        <v>0</v>
      </c>
      <c r="BI32">
        <f t="shared" si="22"/>
        <v>0</v>
      </c>
      <c r="BJ32">
        <f t="shared" si="23"/>
        <v>0</v>
      </c>
      <c r="BK32">
        <f t="shared" si="24"/>
        <v>0</v>
      </c>
      <c r="BL32">
        <f t="shared" si="25"/>
        <v>0</v>
      </c>
      <c r="BM32">
        <f t="shared" si="26"/>
        <v>0</v>
      </c>
      <c r="BN32">
        <f t="shared" si="27"/>
        <v>0</v>
      </c>
      <c r="BO32">
        <f t="shared" si="28"/>
        <v>0</v>
      </c>
      <c r="BP32">
        <f t="shared" si="29"/>
        <v>0</v>
      </c>
      <c r="BQ32">
        <f t="shared" si="30"/>
        <v>0</v>
      </c>
      <c r="BT32" cm="1">
        <f t="array" ref="BT32">IF(A32="","",MAX(FREQUENCY(IF(AM32:BQ32=1,COLUMN(AM32:BQ32)),IF(AM32:BQ32=0,COLUMN(AM32:BQ32)))))</f>
        <v>0</v>
      </c>
    </row>
    <row r="33" spans="1:72">
      <c r="A33">
        <f>Dashboard!B51</f>
        <v>0</v>
      </c>
      <c r="B33">
        <f>Dashboard!C51</f>
        <v>0</v>
      </c>
      <c r="C33">
        <f>Dashboard!D51</f>
        <v>0</v>
      </c>
      <c r="D33">
        <f>Dashboard!E51</f>
        <v>0</v>
      </c>
      <c r="E33">
        <f>Dashboard!F51</f>
        <v>0</v>
      </c>
      <c r="F33">
        <f>Dashboard!G51</f>
        <v>0</v>
      </c>
      <c r="AM33">
        <f t="shared" si="0"/>
        <v>0</v>
      </c>
      <c r="AN33">
        <f t="shared" si="1"/>
        <v>0</v>
      </c>
      <c r="AO33">
        <f t="shared" si="2"/>
        <v>0</v>
      </c>
      <c r="AP33">
        <f t="shared" si="3"/>
        <v>0</v>
      </c>
      <c r="AQ33">
        <f t="shared" si="4"/>
        <v>0</v>
      </c>
      <c r="AR33">
        <f t="shared" si="5"/>
        <v>0</v>
      </c>
      <c r="AS33">
        <f t="shared" si="6"/>
        <v>0</v>
      </c>
      <c r="AT33">
        <f t="shared" si="7"/>
        <v>0</v>
      </c>
      <c r="AU33">
        <f t="shared" si="8"/>
        <v>0</v>
      </c>
      <c r="AV33">
        <f t="shared" si="9"/>
        <v>0</v>
      </c>
      <c r="AW33">
        <f t="shared" si="10"/>
        <v>0</v>
      </c>
      <c r="AX33">
        <f t="shared" si="11"/>
        <v>0</v>
      </c>
      <c r="AY33">
        <f t="shared" si="12"/>
        <v>0</v>
      </c>
      <c r="AZ33">
        <f t="shared" si="13"/>
        <v>0</v>
      </c>
      <c r="BA33">
        <f t="shared" si="14"/>
        <v>0</v>
      </c>
      <c r="BB33">
        <f t="shared" si="15"/>
        <v>0</v>
      </c>
      <c r="BC33">
        <f t="shared" si="16"/>
        <v>0</v>
      </c>
      <c r="BD33">
        <f t="shared" si="17"/>
        <v>0</v>
      </c>
      <c r="BE33">
        <f t="shared" si="18"/>
        <v>0</v>
      </c>
      <c r="BF33">
        <f t="shared" si="19"/>
        <v>0</v>
      </c>
      <c r="BG33">
        <f t="shared" si="20"/>
        <v>0</v>
      </c>
      <c r="BH33">
        <f t="shared" si="21"/>
        <v>0</v>
      </c>
      <c r="BI33">
        <f t="shared" si="22"/>
        <v>0</v>
      </c>
      <c r="BJ33">
        <f t="shared" si="23"/>
        <v>0</v>
      </c>
      <c r="BK33">
        <f t="shared" si="24"/>
        <v>0</v>
      </c>
      <c r="BL33">
        <f t="shared" si="25"/>
        <v>0</v>
      </c>
      <c r="BM33">
        <f t="shared" si="26"/>
        <v>0</v>
      </c>
      <c r="BN33">
        <f t="shared" si="27"/>
        <v>0</v>
      </c>
      <c r="BO33">
        <f t="shared" si="28"/>
        <v>0</v>
      </c>
      <c r="BP33">
        <f t="shared" si="29"/>
        <v>0</v>
      </c>
      <c r="BQ33">
        <f t="shared" si="30"/>
        <v>0</v>
      </c>
      <c r="BT33" cm="1">
        <f t="array" ref="BT33">IF(A33="","",MAX(FREQUENCY(IF(AM33:BQ33=1,COLUMN(AM33:BQ33)),IF(AM33:BQ33=0,COLUMN(AM33:BQ33)))))</f>
        <v>0</v>
      </c>
    </row>
    <row r="34" spans="1:72">
      <c r="A34">
        <f>Dashboard!B52</f>
        <v>0</v>
      </c>
      <c r="B34">
        <f>Dashboard!C52</f>
        <v>0</v>
      </c>
      <c r="C34">
        <f>Dashboard!D52</f>
        <v>0</v>
      </c>
      <c r="D34">
        <f>Dashboard!E52</f>
        <v>0</v>
      </c>
      <c r="E34">
        <f>Dashboard!F52</f>
        <v>0</v>
      </c>
      <c r="F34">
        <f>Dashboard!G52</f>
        <v>0</v>
      </c>
      <c r="AM34">
        <f t="shared" ref="AM34:AM51" si="32">IF(H34=TRUE,1,0)</f>
        <v>0</v>
      </c>
      <c r="AN34">
        <f t="shared" ref="AN34:AN51" si="33">IF(I34=TRUE,1,0)</f>
        <v>0</v>
      </c>
      <c r="AO34">
        <f t="shared" ref="AO34:AO51" si="34">IF(J34=TRUE,1,0)</f>
        <v>0</v>
      </c>
      <c r="AP34">
        <f t="shared" ref="AP34:AP51" si="35">IF(K34=TRUE,1,0)</f>
        <v>0</v>
      </c>
      <c r="AQ34">
        <f t="shared" ref="AQ34:AQ51" si="36">IF(L34=TRUE,1,0)</f>
        <v>0</v>
      </c>
      <c r="AR34">
        <f t="shared" ref="AR34:AR51" si="37">IF(M34=TRUE,1,0)</f>
        <v>0</v>
      </c>
      <c r="AS34">
        <f t="shared" ref="AS34:AS51" si="38">IF(N34=TRUE,1,0)</f>
        <v>0</v>
      </c>
      <c r="AT34">
        <f t="shared" ref="AT34:AT51" si="39">IF(O34=TRUE,1,0)</f>
        <v>0</v>
      </c>
      <c r="AU34">
        <f t="shared" ref="AU34:AU51" si="40">IF(P34=TRUE,1,0)</f>
        <v>0</v>
      </c>
      <c r="AV34">
        <f t="shared" ref="AV34:AV51" si="41">IF(Q34=TRUE,1,0)</f>
        <v>0</v>
      </c>
      <c r="AW34">
        <f t="shared" ref="AW34:AW51" si="42">IF(R34=TRUE,1,0)</f>
        <v>0</v>
      </c>
      <c r="AX34">
        <f t="shared" ref="AX34:AX51" si="43">IF(S34=TRUE,1,0)</f>
        <v>0</v>
      </c>
      <c r="AY34">
        <f t="shared" ref="AY34:AY51" si="44">IF(T34=TRUE,1,0)</f>
        <v>0</v>
      </c>
      <c r="AZ34">
        <f t="shared" ref="AZ34:AZ51" si="45">IF(U34=TRUE,1,0)</f>
        <v>0</v>
      </c>
      <c r="BA34">
        <f t="shared" ref="BA34:BA51" si="46">IF(V34=TRUE,1,0)</f>
        <v>0</v>
      </c>
      <c r="BB34">
        <f t="shared" ref="BB34:BB51" si="47">IF(W34=TRUE,1,0)</f>
        <v>0</v>
      </c>
      <c r="BC34">
        <f t="shared" ref="BC34:BC51" si="48">IF(X34=TRUE,1,0)</f>
        <v>0</v>
      </c>
      <c r="BD34">
        <f t="shared" ref="BD34:BD51" si="49">IF(Y34=TRUE,1,0)</f>
        <v>0</v>
      </c>
      <c r="BE34">
        <f t="shared" ref="BE34:BE51" si="50">IF(Z34=TRUE,1,0)</f>
        <v>0</v>
      </c>
      <c r="BF34">
        <f t="shared" ref="BF34:BF51" si="51">IF(AA34=TRUE,1,0)</f>
        <v>0</v>
      </c>
      <c r="BG34">
        <f t="shared" ref="BG34:BG51" si="52">IF(AB34=TRUE,1,0)</f>
        <v>0</v>
      </c>
      <c r="BH34">
        <f t="shared" ref="BH34:BH51" si="53">IF(AC34=TRUE,1,0)</f>
        <v>0</v>
      </c>
      <c r="BI34">
        <f t="shared" ref="BI34:BI51" si="54">IF(AD34=TRUE,1,0)</f>
        <v>0</v>
      </c>
      <c r="BJ34">
        <f t="shared" ref="BJ34:BJ51" si="55">IF(AE34=TRUE,1,0)</f>
        <v>0</v>
      </c>
      <c r="BK34">
        <f t="shared" ref="BK34:BK51" si="56">IF(AF34=TRUE,1,0)</f>
        <v>0</v>
      </c>
      <c r="BL34">
        <f t="shared" ref="BL34:BL51" si="57">IF(AG34=TRUE,1,0)</f>
        <v>0</v>
      </c>
      <c r="BM34">
        <f t="shared" ref="BM34:BM51" si="58">IF(AH34=TRUE,1,0)</f>
        <v>0</v>
      </c>
      <c r="BN34">
        <f t="shared" ref="BN34:BN51" si="59">IF(AI34=TRUE,1,0)</f>
        <v>0</v>
      </c>
      <c r="BO34">
        <f t="shared" ref="BO34:BO51" si="60">IF(AJ34=TRUE,1,0)</f>
        <v>0</v>
      </c>
      <c r="BP34">
        <f t="shared" ref="BP34:BP51" si="61">IF(AK34=TRUE,1,0)</f>
        <v>0</v>
      </c>
      <c r="BQ34">
        <f t="shared" ref="BQ34:BQ51" si="62">IF(AL34=TRUE,1,0)</f>
        <v>0</v>
      </c>
      <c r="BT34" cm="1">
        <f t="array" ref="BT34">IF(A34="","",MAX(FREQUENCY(IF(AM34:BQ34=1,COLUMN(AM34:BQ34)),IF(AM34:BQ34=0,COLUMN(AM34:BQ34)))))</f>
        <v>0</v>
      </c>
    </row>
    <row r="35" spans="1:72">
      <c r="A35">
        <f>Dashboard!B53</f>
        <v>0</v>
      </c>
      <c r="B35">
        <f>Dashboard!C53</f>
        <v>0</v>
      </c>
      <c r="C35">
        <f>Dashboard!D53</f>
        <v>0</v>
      </c>
      <c r="D35">
        <f>Dashboard!E53</f>
        <v>0</v>
      </c>
      <c r="E35">
        <f>Dashboard!F53</f>
        <v>0</v>
      </c>
      <c r="F35">
        <f>Dashboard!G53</f>
        <v>0</v>
      </c>
      <c r="AM35">
        <f t="shared" si="32"/>
        <v>0</v>
      </c>
      <c r="AN35">
        <f t="shared" si="33"/>
        <v>0</v>
      </c>
      <c r="AO35">
        <f t="shared" si="34"/>
        <v>0</v>
      </c>
      <c r="AP35">
        <f t="shared" si="35"/>
        <v>0</v>
      </c>
      <c r="AQ35">
        <f t="shared" si="36"/>
        <v>0</v>
      </c>
      <c r="AR35">
        <f t="shared" si="37"/>
        <v>0</v>
      </c>
      <c r="AS35">
        <f t="shared" si="38"/>
        <v>0</v>
      </c>
      <c r="AT35">
        <f t="shared" si="39"/>
        <v>0</v>
      </c>
      <c r="AU35">
        <f t="shared" si="40"/>
        <v>0</v>
      </c>
      <c r="AV35">
        <f t="shared" si="41"/>
        <v>0</v>
      </c>
      <c r="AW35">
        <f t="shared" si="42"/>
        <v>0</v>
      </c>
      <c r="AX35">
        <f t="shared" si="43"/>
        <v>0</v>
      </c>
      <c r="AY35">
        <f t="shared" si="44"/>
        <v>0</v>
      </c>
      <c r="AZ35">
        <f t="shared" si="45"/>
        <v>0</v>
      </c>
      <c r="BA35">
        <f t="shared" si="46"/>
        <v>0</v>
      </c>
      <c r="BB35">
        <f t="shared" si="47"/>
        <v>0</v>
      </c>
      <c r="BC35">
        <f t="shared" si="48"/>
        <v>0</v>
      </c>
      <c r="BD35">
        <f t="shared" si="49"/>
        <v>0</v>
      </c>
      <c r="BE35">
        <f t="shared" si="50"/>
        <v>0</v>
      </c>
      <c r="BF35">
        <f t="shared" si="51"/>
        <v>0</v>
      </c>
      <c r="BG35">
        <f t="shared" si="52"/>
        <v>0</v>
      </c>
      <c r="BH35">
        <f t="shared" si="53"/>
        <v>0</v>
      </c>
      <c r="BI35">
        <f t="shared" si="54"/>
        <v>0</v>
      </c>
      <c r="BJ35">
        <f t="shared" si="55"/>
        <v>0</v>
      </c>
      <c r="BK35">
        <f t="shared" si="56"/>
        <v>0</v>
      </c>
      <c r="BL35">
        <f t="shared" si="57"/>
        <v>0</v>
      </c>
      <c r="BM35">
        <f t="shared" si="58"/>
        <v>0</v>
      </c>
      <c r="BN35">
        <f t="shared" si="59"/>
        <v>0</v>
      </c>
      <c r="BO35">
        <f t="shared" si="60"/>
        <v>0</v>
      </c>
      <c r="BP35">
        <f t="shared" si="61"/>
        <v>0</v>
      </c>
      <c r="BQ35">
        <f t="shared" si="62"/>
        <v>0</v>
      </c>
      <c r="BT35" cm="1">
        <f t="array" ref="BT35">IF(A35="","",MAX(FREQUENCY(IF(AM35:BQ35=1,COLUMN(AM35:BQ35)),IF(AM35:BQ35=0,COLUMN(AM35:BQ35)))))</f>
        <v>0</v>
      </c>
    </row>
    <row r="36" spans="1:72">
      <c r="A36">
        <f>Dashboard!B54</f>
        <v>0</v>
      </c>
      <c r="B36">
        <f>Dashboard!C54</f>
        <v>0</v>
      </c>
      <c r="C36">
        <f>Dashboard!D54</f>
        <v>0</v>
      </c>
      <c r="D36">
        <f>Dashboard!E54</f>
        <v>0</v>
      </c>
      <c r="E36">
        <f>Dashboard!F54</f>
        <v>0</v>
      </c>
      <c r="F36">
        <f>Dashboard!G54</f>
        <v>0</v>
      </c>
      <c r="AM36">
        <f t="shared" si="32"/>
        <v>0</v>
      </c>
      <c r="AN36">
        <f t="shared" si="33"/>
        <v>0</v>
      </c>
      <c r="AO36">
        <f t="shared" si="34"/>
        <v>0</v>
      </c>
      <c r="AP36">
        <f t="shared" si="35"/>
        <v>0</v>
      </c>
      <c r="AQ36">
        <f t="shared" si="36"/>
        <v>0</v>
      </c>
      <c r="AR36">
        <f t="shared" si="37"/>
        <v>0</v>
      </c>
      <c r="AS36">
        <f t="shared" si="38"/>
        <v>0</v>
      </c>
      <c r="AT36">
        <f t="shared" si="39"/>
        <v>0</v>
      </c>
      <c r="AU36">
        <f t="shared" si="40"/>
        <v>0</v>
      </c>
      <c r="AV36">
        <f t="shared" si="41"/>
        <v>0</v>
      </c>
      <c r="AW36">
        <f t="shared" si="42"/>
        <v>0</v>
      </c>
      <c r="AX36">
        <f t="shared" si="43"/>
        <v>0</v>
      </c>
      <c r="AY36">
        <f t="shared" si="44"/>
        <v>0</v>
      </c>
      <c r="AZ36">
        <f t="shared" si="45"/>
        <v>0</v>
      </c>
      <c r="BA36">
        <f t="shared" si="46"/>
        <v>0</v>
      </c>
      <c r="BB36">
        <f t="shared" si="47"/>
        <v>0</v>
      </c>
      <c r="BC36">
        <f t="shared" si="48"/>
        <v>0</v>
      </c>
      <c r="BD36">
        <f t="shared" si="49"/>
        <v>0</v>
      </c>
      <c r="BE36">
        <f t="shared" si="50"/>
        <v>0</v>
      </c>
      <c r="BF36">
        <f t="shared" si="51"/>
        <v>0</v>
      </c>
      <c r="BG36">
        <f t="shared" si="52"/>
        <v>0</v>
      </c>
      <c r="BH36">
        <f t="shared" si="53"/>
        <v>0</v>
      </c>
      <c r="BI36">
        <f t="shared" si="54"/>
        <v>0</v>
      </c>
      <c r="BJ36">
        <f t="shared" si="55"/>
        <v>0</v>
      </c>
      <c r="BK36">
        <f t="shared" si="56"/>
        <v>0</v>
      </c>
      <c r="BL36">
        <f t="shared" si="57"/>
        <v>0</v>
      </c>
      <c r="BM36">
        <f t="shared" si="58"/>
        <v>0</v>
      </c>
      <c r="BN36">
        <f t="shared" si="59"/>
        <v>0</v>
      </c>
      <c r="BO36">
        <f t="shared" si="60"/>
        <v>0</v>
      </c>
      <c r="BP36">
        <f t="shared" si="61"/>
        <v>0</v>
      </c>
      <c r="BQ36">
        <f t="shared" si="62"/>
        <v>0</v>
      </c>
      <c r="BT36" cm="1">
        <f t="array" ref="BT36">IF(A36="","",MAX(FREQUENCY(IF(AM36:BQ36=1,COLUMN(AM36:BQ36)),IF(AM36:BQ36=0,COLUMN(AM36:BQ36)))))</f>
        <v>0</v>
      </c>
    </row>
    <row r="37" spans="1:72">
      <c r="A37">
        <f>Dashboard!B55</f>
        <v>0</v>
      </c>
      <c r="B37">
        <f>Dashboard!C55</f>
        <v>0</v>
      </c>
      <c r="C37">
        <f>Dashboard!D55</f>
        <v>0</v>
      </c>
      <c r="D37">
        <f>Dashboard!E55</f>
        <v>0</v>
      </c>
      <c r="E37">
        <f>Dashboard!F55</f>
        <v>0</v>
      </c>
      <c r="F37">
        <f>Dashboard!G55</f>
        <v>0</v>
      </c>
      <c r="AM37">
        <f t="shared" si="32"/>
        <v>0</v>
      </c>
      <c r="AN37">
        <f t="shared" si="33"/>
        <v>0</v>
      </c>
      <c r="AO37">
        <f t="shared" si="34"/>
        <v>0</v>
      </c>
      <c r="AP37">
        <f t="shared" si="35"/>
        <v>0</v>
      </c>
      <c r="AQ37">
        <f t="shared" si="36"/>
        <v>0</v>
      </c>
      <c r="AR37">
        <f t="shared" si="37"/>
        <v>0</v>
      </c>
      <c r="AS37">
        <f t="shared" si="38"/>
        <v>0</v>
      </c>
      <c r="AT37">
        <f t="shared" si="39"/>
        <v>0</v>
      </c>
      <c r="AU37">
        <f t="shared" si="40"/>
        <v>0</v>
      </c>
      <c r="AV37">
        <f t="shared" si="41"/>
        <v>0</v>
      </c>
      <c r="AW37">
        <f t="shared" si="42"/>
        <v>0</v>
      </c>
      <c r="AX37">
        <f t="shared" si="43"/>
        <v>0</v>
      </c>
      <c r="AY37">
        <f t="shared" si="44"/>
        <v>0</v>
      </c>
      <c r="AZ37">
        <f t="shared" si="45"/>
        <v>0</v>
      </c>
      <c r="BA37">
        <f t="shared" si="46"/>
        <v>0</v>
      </c>
      <c r="BB37">
        <f t="shared" si="47"/>
        <v>0</v>
      </c>
      <c r="BC37">
        <f t="shared" si="48"/>
        <v>0</v>
      </c>
      <c r="BD37">
        <f t="shared" si="49"/>
        <v>0</v>
      </c>
      <c r="BE37">
        <f t="shared" si="50"/>
        <v>0</v>
      </c>
      <c r="BF37">
        <f t="shared" si="51"/>
        <v>0</v>
      </c>
      <c r="BG37">
        <f t="shared" si="52"/>
        <v>0</v>
      </c>
      <c r="BH37">
        <f t="shared" si="53"/>
        <v>0</v>
      </c>
      <c r="BI37">
        <f t="shared" si="54"/>
        <v>0</v>
      </c>
      <c r="BJ37">
        <f t="shared" si="55"/>
        <v>0</v>
      </c>
      <c r="BK37">
        <f t="shared" si="56"/>
        <v>0</v>
      </c>
      <c r="BL37">
        <f t="shared" si="57"/>
        <v>0</v>
      </c>
      <c r="BM37">
        <f t="shared" si="58"/>
        <v>0</v>
      </c>
      <c r="BN37">
        <f t="shared" si="59"/>
        <v>0</v>
      </c>
      <c r="BO37">
        <f t="shared" si="60"/>
        <v>0</v>
      </c>
      <c r="BP37">
        <f t="shared" si="61"/>
        <v>0</v>
      </c>
      <c r="BQ37">
        <f t="shared" si="62"/>
        <v>0</v>
      </c>
      <c r="BT37" cm="1">
        <f t="array" ref="BT37">IF(A37="","",MAX(FREQUENCY(IF(AM37:BQ37=1,COLUMN(AM37:BQ37)),IF(AM37:BQ37=0,COLUMN(AM37:BQ37)))))</f>
        <v>0</v>
      </c>
    </row>
    <row r="38" spans="1:72">
      <c r="A38">
        <f>Dashboard!B56</f>
        <v>0</v>
      </c>
      <c r="B38">
        <f>Dashboard!C56</f>
        <v>0</v>
      </c>
      <c r="C38">
        <f>Dashboard!D56</f>
        <v>0</v>
      </c>
      <c r="D38">
        <f>Dashboard!E56</f>
        <v>0</v>
      </c>
      <c r="E38">
        <f>Dashboard!F56</f>
        <v>0</v>
      </c>
      <c r="F38">
        <f>Dashboard!G56</f>
        <v>0</v>
      </c>
      <c r="AM38">
        <f t="shared" si="32"/>
        <v>0</v>
      </c>
      <c r="AN38">
        <f t="shared" si="33"/>
        <v>0</v>
      </c>
      <c r="AO38">
        <f t="shared" si="34"/>
        <v>0</v>
      </c>
      <c r="AP38">
        <f t="shared" si="35"/>
        <v>0</v>
      </c>
      <c r="AQ38">
        <f t="shared" si="36"/>
        <v>0</v>
      </c>
      <c r="AR38">
        <f t="shared" si="37"/>
        <v>0</v>
      </c>
      <c r="AS38">
        <f t="shared" si="38"/>
        <v>0</v>
      </c>
      <c r="AT38">
        <f t="shared" si="39"/>
        <v>0</v>
      </c>
      <c r="AU38">
        <f t="shared" si="40"/>
        <v>0</v>
      </c>
      <c r="AV38">
        <f t="shared" si="41"/>
        <v>0</v>
      </c>
      <c r="AW38">
        <f t="shared" si="42"/>
        <v>0</v>
      </c>
      <c r="AX38">
        <f t="shared" si="43"/>
        <v>0</v>
      </c>
      <c r="AY38">
        <f t="shared" si="44"/>
        <v>0</v>
      </c>
      <c r="AZ38">
        <f t="shared" si="45"/>
        <v>0</v>
      </c>
      <c r="BA38">
        <f t="shared" si="46"/>
        <v>0</v>
      </c>
      <c r="BB38">
        <f t="shared" si="47"/>
        <v>0</v>
      </c>
      <c r="BC38">
        <f t="shared" si="48"/>
        <v>0</v>
      </c>
      <c r="BD38">
        <f t="shared" si="49"/>
        <v>0</v>
      </c>
      <c r="BE38">
        <f t="shared" si="50"/>
        <v>0</v>
      </c>
      <c r="BF38">
        <f t="shared" si="51"/>
        <v>0</v>
      </c>
      <c r="BG38">
        <f t="shared" si="52"/>
        <v>0</v>
      </c>
      <c r="BH38">
        <f t="shared" si="53"/>
        <v>0</v>
      </c>
      <c r="BI38">
        <f t="shared" si="54"/>
        <v>0</v>
      </c>
      <c r="BJ38">
        <f t="shared" si="55"/>
        <v>0</v>
      </c>
      <c r="BK38">
        <f t="shared" si="56"/>
        <v>0</v>
      </c>
      <c r="BL38">
        <f t="shared" si="57"/>
        <v>0</v>
      </c>
      <c r="BM38">
        <f t="shared" si="58"/>
        <v>0</v>
      </c>
      <c r="BN38">
        <f t="shared" si="59"/>
        <v>0</v>
      </c>
      <c r="BO38">
        <f t="shared" si="60"/>
        <v>0</v>
      </c>
      <c r="BP38">
        <f t="shared" si="61"/>
        <v>0</v>
      </c>
      <c r="BQ38">
        <f t="shared" si="62"/>
        <v>0</v>
      </c>
      <c r="BT38" cm="1">
        <f t="array" ref="BT38">IF(A38="","",MAX(FREQUENCY(IF(AM38:BQ38=1,COLUMN(AM38:BQ38)),IF(AM38:BQ38=0,COLUMN(AM38:BQ38)))))</f>
        <v>0</v>
      </c>
    </row>
    <row r="39" spans="1:72">
      <c r="A39">
        <f>Dashboard!B57</f>
        <v>0</v>
      </c>
      <c r="B39">
        <f>Dashboard!C57</f>
        <v>0</v>
      </c>
      <c r="C39">
        <f>Dashboard!D57</f>
        <v>0</v>
      </c>
      <c r="D39">
        <f>Dashboard!E57</f>
        <v>0</v>
      </c>
      <c r="E39">
        <f>Dashboard!F57</f>
        <v>0</v>
      </c>
      <c r="F39">
        <f>Dashboard!G57</f>
        <v>0</v>
      </c>
      <c r="AM39">
        <f t="shared" si="32"/>
        <v>0</v>
      </c>
      <c r="AN39">
        <f t="shared" si="33"/>
        <v>0</v>
      </c>
      <c r="AO39">
        <f t="shared" si="34"/>
        <v>0</v>
      </c>
      <c r="AP39">
        <f t="shared" si="35"/>
        <v>0</v>
      </c>
      <c r="AQ39">
        <f t="shared" si="36"/>
        <v>0</v>
      </c>
      <c r="AR39">
        <f t="shared" si="37"/>
        <v>0</v>
      </c>
      <c r="AS39">
        <f t="shared" si="38"/>
        <v>0</v>
      </c>
      <c r="AT39">
        <f t="shared" si="39"/>
        <v>0</v>
      </c>
      <c r="AU39">
        <f t="shared" si="40"/>
        <v>0</v>
      </c>
      <c r="AV39">
        <f t="shared" si="41"/>
        <v>0</v>
      </c>
      <c r="AW39">
        <f t="shared" si="42"/>
        <v>0</v>
      </c>
      <c r="AX39">
        <f t="shared" si="43"/>
        <v>0</v>
      </c>
      <c r="AY39">
        <f t="shared" si="44"/>
        <v>0</v>
      </c>
      <c r="AZ39">
        <f t="shared" si="45"/>
        <v>0</v>
      </c>
      <c r="BA39">
        <f t="shared" si="46"/>
        <v>0</v>
      </c>
      <c r="BB39">
        <f t="shared" si="47"/>
        <v>0</v>
      </c>
      <c r="BC39">
        <f t="shared" si="48"/>
        <v>0</v>
      </c>
      <c r="BD39">
        <f t="shared" si="49"/>
        <v>0</v>
      </c>
      <c r="BE39">
        <f t="shared" si="50"/>
        <v>0</v>
      </c>
      <c r="BF39">
        <f t="shared" si="51"/>
        <v>0</v>
      </c>
      <c r="BG39">
        <f t="shared" si="52"/>
        <v>0</v>
      </c>
      <c r="BH39">
        <f t="shared" si="53"/>
        <v>0</v>
      </c>
      <c r="BI39">
        <f t="shared" si="54"/>
        <v>0</v>
      </c>
      <c r="BJ39">
        <f t="shared" si="55"/>
        <v>0</v>
      </c>
      <c r="BK39">
        <f t="shared" si="56"/>
        <v>0</v>
      </c>
      <c r="BL39">
        <f t="shared" si="57"/>
        <v>0</v>
      </c>
      <c r="BM39">
        <f t="shared" si="58"/>
        <v>0</v>
      </c>
      <c r="BN39">
        <f t="shared" si="59"/>
        <v>0</v>
      </c>
      <c r="BO39">
        <f t="shared" si="60"/>
        <v>0</v>
      </c>
      <c r="BP39">
        <f t="shared" si="61"/>
        <v>0</v>
      </c>
      <c r="BQ39">
        <f t="shared" si="62"/>
        <v>0</v>
      </c>
      <c r="BT39" cm="1">
        <f t="array" ref="BT39">IF(A39="","",MAX(FREQUENCY(IF(AM39:BQ39=1,COLUMN(AM39:BQ39)),IF(AM39:BQ39=0,COLUMN(AM39:BQ39)))))</f>
        <v>0</v>
      </c>
    </row>
    <row r="40" spans="1:72">
      <c r="A40">
        <f>Dashboard!B58</f>
        <v>0</v>
      </c>
      <c r="B40">
        <f>Dashboard!C58</f>
        <v>0</v>
      </c>
      <c r="C40">
        <f>Dashboard!D58</f>
        <v>0</v>
      </c>
      <c r="D40">
        <f>Dashboard!E58</f>
        <v>0</v>
      </c>
      <c r="E40">
        <f>Dashboard!F58</f>
        <v>0</v>
      </c>
      <c r="F40">
        <f>Dashboard!G58</f>
        <v>0</v>
      </c>
      <c r="AM40">
        <f t="shared" si="32"/>
        <v>0</v>
      </c>
      <c r="AN40">
        <f t="shared" si="33"/>
        <v>0</v>
      </c>
      <c r="AO40">
        <f t="shared" si="34"/>
        <v>0</v>
      </c>
      <c r="AP40">
        <f t="shared" si="35"/>
        <v>0</v>
      </c>
      <c r="AQ40">
        <f t="shared" si="36"/>
        <v>0</v>
      </c>
      <c r="AR40">
        <f t="shared" si="37"/>
        <v>0</v>
      </c>
      <c r="AS40">
        <f t="shared" si="38"/>
        <v>0</v>
      </c>
      <c r="AT40">
        <f t="shared" si="39"/>
        <v>0</v>
      </c>
      <c r="AU40">
        <f t="shared" si="40"/>
        <v>0</v>
      </c>
      <c r="AV40">
        <f t="shared" si="41"/>
        <v>0</v>
      </c>
      <c r="AW40">
        <f t="shared" si="42"/>
        <v>0</v>
      </c>
      <c r="AX40">
        <f t="shared" si="43"/>
        <v>0</v>
      </c>
      <c r="AY40">
        <f t="shared" si="44"/>
        <v>0</v>
      </c>
      <c r="AZ40">
        <f t="shared" si="45"/>
        <v>0</v>
      </c>
      <c r="BA40">
        <f t="shared" si="46"/>
        <v>0</v>
      </c>
      <c r="BB40">
        <f t="shared" si="47"/>
        <v>0</v>
      </c>
      <c r="BC40">
        <f t="shared" si="48"/>
        <v>0</v>
      </c>
      <c r="BD40">
        <f t="shared" si="49"/>
        <v>0</v>
      </c>
      <c r="BE40">
        <f t="shared" si="50"/>
        <v>0</v>
      </c>
      <c r="BF40">
        <f t="shared" si="51"/>
        <v>0</v>
      </c>
      <c r="BG40">
        <f t="shared" si="52"/>
        <v>0</v>
      </c>
      <c r="BH40">
        <f t="shared" si="53"/>
        <v>0</v>
      </c>
      <c r="BI40">
        <f t="shared" si="54"/>
        <v>0</v>
      </c>
      <c r="BJ40">
        <f t="shared" si="55"/>
        <v>0</v>
      </c>
      <c r="BK40">
        <f t="shared" si="56"/>
        <v>0</v>
      </c>
      <c r="BL40">
        <f t="shared" si="57"/>
        <v>0</v>
      </c>
      <c r="BM40">
        <f t="shared" si="58"/>
        <v>0</v>
      </c>
      <c r="BN40">
        <f t="shared" si="59"/>
        <v>0</v>
      </c>
      <c r="BO40">
        <f t="shared" si="60"/>
        <v>0</v>
      </c>
      <c r="BP40">
        <f t="shared" si="61"/>
        <v>0</v>
      </c>
      <c r="BQ40">
        <f t="shared" si="62"/>
        <v>0</v>
      </c>
      <c r="BT40" cm="1">
        <f t="array" ref="BT40">IF(A40="","",MAX(FREQUENCY(IF(AM40:BQ40=1,COLUMN(AM40:BQ40)),IF(AM40:BQ40=0,COLUMN(AM40:BQ40)))))</f>
        <v>0</v>
      </c>
    </row>
    <row r="41" spans="1:72">
      <c r="A41">
        <f>Dashboard!B59</f>
        <v>0</v>
      </c>
      <c r="B41">
        <f>Dashboard!C59</f>
        <v>0</v>
      </c>
      <c r="C41">
        <f>Dashboard!D59</f>
        <v>0</v>
      </c>
      <c r="D41">
        <f>Dashboard!E59</f>
        <v>0</v>
      </c>
      <c r="E41">
        <f>Dashboard!F59</f>
        <v>0</v>
      </c>
      <c r="F41">
        <f>Dashboard!G59</f>
        <v>0</v>
      </c>
      <c r="AM41">
        <f t="shared" si="32"/>
        <v>0</v>
      </c>
      <c r="AN41">
        <f t="shared" si="33"/>
        <v>0</v>
      </c>
      <c r="AO41">
        <f t="shared" si="34"/>
        <v>0</v>
      </c>
      <c r="AP41">
        <f t="shared" si="35"/>
        <v>0</v>
      </c>
      <c r="AQ41">
        <f t="shared" si="36"/>
        <v>0</v>
      </c>
      <c r="AR41">
        <f t="shared" si="37"/>
        <v>0</v>
      </c>
      <c r="AS41">
        <f t="shared" si="38"/>
        <v>0</v>
      </c>
      <c r="AT41">
        <f t="shared" si="39"/>
        <v>0</v>
      </c>
      <c r="AU41">
        <f t="shared" si="40"/>
        <v>0</v>
      </c>
      <c r="AV41">
        <f t="shared" si="41"/>
        <v>0</v>
      </c>
      <c r="AW41">
        <f t="shared" si="42"/>
        <v>0</v>
      </c>
      <c r="AX41">
        <f t="shared" si="43"/>
        <v>0</v>
      </c>
      <c r="AY41">
        <f t="shared" si="44"/>
        <v>0</v>
      </c>
      <c r="AZ41">
        <f t="shared" si="45"/>
        <v>0</v>
      </c>
      <c r="BA41">
        <f t="shared" si="46"/>
        <v>0</v>
      </c>
      <c r="BB41">
        <f t="shared" si="47"/>
        <v>0</v>
      </c>
      <c r="BC41">
        <f t="shared" si="48"/>
        <v>0</v>
      </c>
      <c r="BD41">
        <f t="shared" si="49"/>
        <v>0</v>
      </c>
      <c r="BE41">
        <f t="shared" si="50"/>
        <v>0</v>
      </c>
      <c r="BF41">
        <f t="shared" si="51"/>
        <v>0</v>
      </c>
      <c r="BG41">
        <f t="shared" si="52"/>
        <v>0</v>
      </c>
      <c r="BH41">
        <f t="shared" si="53"/>
        <v>0</v>
      </c>
      <c r="BI41">
        <f t="shared" si="54"/>
        <v>0</v>
      </c>
      <c r="BJ41">
        <f t="shared" si="55"/>
        <v>0</v>
      </c>
      <c r="BK41">
        <f t="shared" si="56"/>
        <v>0</v>
      </c>
      <c r="BL41">
        <f t="shared" si="57"/>
        <v>0</v>
      </c>
      <c r="BM41">
        <f t="shared" si="58"/>
        <v>0</v>
      </c>
      <c r="BN41">
        <f t="shared" si="59"/>
        <v>0</v>
      </c>
      <c r="BO41">
        <f t="shared" si="60"/>
        <v>0</v>
      </c>
      <c r="BP41">
        <f t="shared" si="61"/>
        <v>0</v>
      </c>
      <c r="BQ41">
        <f t="shared" si="62"/>
        <v>0</v>
      </c>
      <c r="BT41" cm="1">
        <f t="array" ref="BT41">IF(A41="","",MAX(FREQUENCY(IF(AM41:BQ41=1,COLUMN(AM41:BQ41)),IF(AM41:BQ41=0,COLUMN(AM41:BQ41)))))</f>
        <v>0</v>
      </c>
    </row>
    <row r="42" spans="1:72">
      <c r="A42">
        <f>Dashboard!B60</f>
        <v>0</v>
      </c>
      <c r="B42">
        <f>Dashboard!C60</f>
        <v>0</v>
      </c>
      <c r="C42">
        <f>Dashboard!D60</f>
        <v>0</v>
      </c>
      <c r="D42">
        <f>Dashboard!E60</f>
        <v>0</v>
      </c>
      <c r="E42">
        <f>Dashboard!F60</f>
        <v>0</v>
      </c>
      <c r="F42">
        <f>Dashboard!G60</f>
        <v>0</v>
      </c>
      <c r="AM42">
        <f t="shared" si="32"/>
        <v>0</v>
      </c>
      <c r="AN42">
        <f t="shared" si="33"/>
        <v>0</v>
      </c>
      <c r="AO42">
        <f t="shared" si="34"/>
        <v>0</v>
      </c>
      <c r="AP42">
        <f t="shared" si="35"/>
        <v>0</v>
      </c>
      <c r="AQ42">
        <f t="shared" si="36"/>
        <v>0</v>
      </c>
      <c r="AR42">
        <f t="shared" si="37"/>
        <v>0</v>
      </c>
      <c r="AS42">
        <f t="shared" si="38"/>
        <v>0</v>
      </c>
      <c r="AT42">
        <f t="shared" si="39"/>
        <v>0</v>
      </c>
      <c r="AU42">
        <f t="shared" si="40"/>
        <v>0</v>
      </c>
      <c r="AV42">
        <f t="shared" si="41"/>
        <v>0</v>
      </c>
      <c r="AW42">
        <f t="shared" si="42"/>
        <v>0</v>
      </c>
      <c r="AX42">
        <f t="shared" si="43"/>
        <v>0</v>
      </c>
      <c r="AY42">
        <f t="shared" si="44"/>
        <v>0</v>
      </c>
      <c r="AZ42">
        <f t="shared" si="45"/>
        <v>0</v>
      </c>
      <c r="BA42">
        <f t="shared" si="46"/>
        <v>0</v>
      </c>
      <c r="BB42">
        <f t="shared" si="47"/>
        <v>0</v>
      </c>
      <c r="BC42">
        <f t="shared" si="48"/>
        <v>0</v>
      </c>
      <c r="BD42">
        <f t="shared" si="49"/>
        <v>0</v>
      </c>
      <c r="BE42">
        <f t="shared" si="50"/>
        <v>0</v>
      </c>
      <c r="BF42">
        <f t="shared" si="51"/>
        <v>0</v>
      </c>
      <c r="BG42">
        <f t="shared" si="52"/>
        <v>0</v>
      </c>
      <c r="BH42">
        <f t="shared" si="53"/>
        <v>0</v>
      </c>
      <c r="BI42">
        <f t="shared" si="54"/>
        <v>0</v>
      </c>
      <c r="BJ42">
        <f t="shared" si="55"/>
        <v>0</v>
      </c>
      <c r="BK42">
        <f t="shared" si="56"/>
        <v>0</v>
      </c>
      <c r="BL42">
        <f t="shared" si="57"/>
        <v>0</v>
      </c>
      <c r="BM42">
        <f t="shared" si="58"/>
        <v>0</v>
      </c>
      <c r="BN42">
        <f t="shared" si="59"/>
        <v>0</v>
      </c>
      <c r="BO42">
        <f t="shared" si="60"/>
        <v>0</v>
      </c>
      <c r="BP42">
        <f t="shared" si="61"/>
        <v>0</v>
      </c>
      <c r="BQ42">
        <f t="shared" si="62"/>
        <v>0</v>
      </c>
      <c r="BT42" cm="1">
        <f t="array" ref="BT42">IF(A42="","",MAX(FREQUENCY(IF(AM42:BQ42=1,COLUMN(AM42:BQ42)),IF(AM42:BQ42=0,COLUMN(AM42:BQ42)))))</f>
        <v>0</v>
      </c>
    </row>
    <row r="43" spans="1:72">
      <c r="A43">
        <f>Dashboard!B61</f>
        <v>0</v>
      </c>
      <c r="B43">
        <f>Dashboard!C61</f>
        <v>0</v>
      </c>
      <c r="C43">
        <f>Dashboard!D61</f>
        <v>0</v>
      </c>
      <c r="D43">
        <f>Dashboard!E61</f>
        <v>0</v>
      </c>
      <c r="E43">
        <f>Dashboard!F61</f>
        <v>0</v>
      </c>
      <c r="F43">
        <f>Dashboard!G61</f>
        <v>0</v>
      </c>
      <c r="AM43">
        <f t="shared" si="32"/>
        <v>0</v>
      </c>
      <c r="AN43">
        <f t="shared" si="33"/>
        <v>0</v>
      </c>
      <c r="AO43">
        <f t="shared" si="34"/>
        <v>0</v>
      </c>
      <c r="AP43">
        <f t="shared" si="35"/>
        <v>0</v>
      </c>
      <c r="AQ43">
        <f t="shared" si="36"/>
        <v>0</v>
      </c>
      <c r="AR43">
        <f t="shared" si="37"/>
        <v>0</v>
      </c>
      <c r="AS43">
        <f t="shared" si="38"/>
        <v>0</v>
      </c>
      <c r="AT43">
        <f t="shared" si="39"/>
        <v>0</v>
      </c>
      <c r="AU43">
        <f t="shared" si="40"/>
        <v>0</v>
      </c>
      <c r="AV43">
        <f t="shared" si="41"/>
        <v>0</v>
      </c>
      <c r="AW43">
        <f t="shared" si="42"/>
        <v>0</v>
      </c>
      <c r="AX43">
        <f t="shared" si="43"/>
        <v>0</v>
      </c>
      <c r="AY43">
        <f t="shared" si="44"/>
        <v>0</v>
      </c>
      <c r="AZ43">
        <f t="shared" si="45"/>
        <v>0</v>
      </c>
      <c r="BA43">
        <f t="shared" si="46"/>
        <v>0</v>
      </c>
      <c r="BB43">
        <f t="shared" si="47"/>
        <v>0</v>
      </c>
      <c r="BC43">
        <f t="shared" si="48"/>
        <v>0</v>
      </c>
      <c r="BD43">
        <f t="shared" si="49"/>
        <v>0</v>
      </c>
      <c r="BE43">
        <f t="shared" si="50"/>
        <v>0</v>
      </c>
      <c r="BF43">
        <f t="shared" si="51"/>
        <v>0</v>
      </c>
      <c r="BG43">
        <f t="shared" si="52"/>
        <v>0</v>
      </c>
      <c r="BH43">
        <f t="shared" si="53"/>
        <v>0</v>
      </c>
      <c r="BI43">
        <f t="shared" si="54"/>
        <v>0</v>
      </c>
      <c r="BJ43">
        <f t="shared" si="55"/>
        <v>0</v>
      </c>
      <c r="BK43">
        <f t="shared" si="56"/>
        <v>0</v>
      </c>
      <c r="BL43">
        <f t="shared" si="57"/>
        <v>0</v>
      </c>
      <c r="BM43">
        <f t="shared" si="58"/>
        <v>0</v>
      </c>
      <c r="BN43">
        <f t="shared" si="59"/>
        <v>0</v>
      </c>
      <c r="BO43">
        <f t="shared" si="60"/>
        <v>0</v>
      </c>
      <c r="BP43">
        <f t="shared" si="61"/>
        <v>0</v>
      </c>
      <c r="BQ43">
        <f t="shared" si="62"/>
        <v>0</v>
      </c>
      <c r="BT43" cm="1">
        <f t="array" ref="BT43">IF(A43="","",MAX(FREQUENCY(IF(AM43:BQ43=1,COLUMN(AM43:BQ43)),IF(AM43:BQ43=0,COLUMN(AM43:BQ43)))))</f>
        <v>0</v>
      </c>
    </row>
    <row r="44" spans="1:72">
      <c r="A44">
        <f>Dashboard!B62</f>
        <v>0</v>
      </c>
      <c r="B44">
        <f>Dashboard!C62</f>
        <v>0</v>
      </c>
      <c r="C44">
        <f>Dashboard!D62</f>
        <v>0</v>
      </c>
      <c r="D44">
        <f>Dashboard!E62</f>
        <v>0</v>
      </c>
      <c r="E44">
        <f>Dashboard!F62</f>
        <v>0</v>
      </c>
      <c r="F44">
        <f>Dashboard!G62</f>
        <v>0</v>
      </c>
      <c r="AM44">
        <f t="shared" si="32"/>
        <v>0</v>
      </c>
      <c r="AN44">
        <f t="shared" si="33"/>
        <v>0</v>
      </c>
      <c r="AO44">
        <f t="shared" si="34"/>
        <v>0</v>
      </c>
      <c r="AP44">
        <f t="shared" si="35"/>
        <v>0</v>
      </c>
      <c r="AQ44">
        <f t="shared" si="36"/>
        <v>0</v>
      </c>
      <c r="AR44">
        <f t="shared" si="37"/>
        <v>0</v>
      </c>
      <c r="AS44">
        <f t="shared" si="38"/>
        <v>0</v>
      </c>
      <c r="AT44">
        <f t="shared" si="39"/>
        <v>0</v>
      </c>
      <c r="AU44">
        <f t="shared" si="40"/>
        <v>0</v>
      </c>
      <c r="AV44">
        <f t="shared" si="41"/>
        <v>0</v>
      </c>
      <c r="AW44">
        <f t="shared" si="42"/>
        <v>0</v>
      </c>
      <c r="AX44">
        <f t="shared" si="43"/>
        <v>0</v>
      </c>
      <c r="AY44">
        <f t="shared" si="44"/>
        <v>0</v>
      </c>
      <c r="AZ44">
        <f t="shared" si="45"/>
        <v>0</v>
      </c>
      <c r="BA44">
        <f t="shared" si="46"/>
        <v>0</v>
      </c>
      <c r="BB44">
        <f t="shared" si="47"/>
        <v>0</v>
      </c>
      <c r="BC44">
        <f t="shared" si="48"/>
        <v>0</v>
      </c>
      <c r="BD44">
        <f t="shared" si="49"/>
        <v>0</v>
      </c>
      <c r="BE44">
        <f t="shared" si="50"/>
        <v>0</v>
      </c>
      <c r="BF44">
        <f t="shared" si="51"/>
        <v>0</v>
      </c>
      <c r="BG44">
        <f t="shared" si="52"/>
        <v>0</v>
      </c>
      <c r="BH44">
        <f t="shared" si="53"/>
        <v>0</v>
      </c>
      <c r="BI44">
        <f t="shared" si="54"/>
        <v>0</v>
      </c>
      <c r="BJ44">
        <f t="shared" si="55"/>
        <v>0</v>
      </c>
      <c r="BK44">
        <f t="shared" si="56"/>
        <v>0</v>
      </c>
      <c r="BL44">
        <f t="shared" si="57"/>
        <v>0</v>
      </c>
      <c r="BM44">
        <f t="shared" si="58"/>
        <v>0</v>
      </c>
      <c r="BN44">
        <f t="shared" si="59"/>
        <v>0</v>
      </c>
      <c r="BO44">
        <f t="shared" si="60"/>
        <v>0</v>
      </c>
      <c r="BP44">
        <f t="shared" si="61"/>
        <v>0</v>
      </c>
      <c r="BQ44">
        <f t="shared" si="62"/>
        <v>0</v>
      </c>
      <c r="BT44" cm="1">
        <f t="array" ref="BT44">IF(A44="","",MAX(FREQUENCY(IF(AM44:BQ44=1,COLUMN(AM44:BQ44)),IF(AM44:BQ44=0,COLUMN(AM44:BQ44)))))</f>
        <v>0</v>
      </c>
    </row>
    <row r="45" spans="1:72">
      <c r="A45">
        <f>Dashboard!B63</f>
        <v>0</v>
      </c>
      <c r="B45">
        <f>Dashboard!C63</f>
        <v>0</v>
      </c>
      <c r="C45">
        <f>Dashboard!D63</f>
        <v>0</v>
      </c>
      <c r="D45">
        <f>Dashboard!E63</f>
        <v>0</v>
      </c>
      <c r="E45">
        <f>Dashboard!F63</f>
        <v>0</v>
      </c>
      <c r="F45">
        <f>Dashboard!G63</f>
        <v>0</v>
      </c>
      <c r="AM45">
        <f t="shared" si="32"/>
        <v>0</v>
      </c>
      <c r="AN45">
        <f t="shared" si="33"/>
        <v>0</v>
      </c>
      <c r="AO45">
        <f t="shared" si="34"/>
        <v>0</v>
      </c>
      <c r="AP45">
        <f t="shared" si="35"/>
        <v>0</v>
      </c>
      <c r="AQ45">
        <f t="shared" si="36"/>
        <v>0</v>
      </c>
      <c r="AR45">
        <f t="shared" si="37"/>
        <v>0</v>
      </c>
      <c r="AS45">
        <f t="shared" si="38"/>
        <v>0</v>
      </c>
      <c r="AT45">
        <f t="shared" si="39"/>
        <v>0</v>
      </c>
      <c r="AU45">
        <f t="shared" si="40"/>
        <v>0</v>
      </c>
      <c r="AV45">
        <f t="shared" si="41"/>
        <v>0</v>
      </c>
      <c r="AW45">
        <f t="shared" si="42"/>
        <v>0</v>
      </c>
      <c r="AX45">
        <f t="shared" si="43"/>
        <v>0</v>
      </c>
      <c r="AY45">
        <f t="shared" si="44"/>
        <v>0</v>
      </c>
      <c r="AZ45">
        <f t="shared" si="45"/>
        <v>0</v>
      </c>
      <c r="BA45">
        <f t="shared" si="46"/>
        <v>0</v>
      </c>
      <c r="BB45">
        <f t="shared" si="47"/>
        <v>0</v>
      </c>
      <c r="BC45">
        <f t="shared" si="48"/>
        <v>0</v>
      </c>
      <c r="BD45">
        <f t="shared" si="49"/>
        <v>0</v>
      </c>
      <c r="BE45">
        <f t="shared" si="50"/>
        <v>0</v>
      </c>
      <c r="BF45">
        <f t="shared" si="51"/>
        <v>0</v>
      </c>
      <c r="BG45">
        <f t="shared" si="52"/>
        <v>0</v>
      </c>
      <c r="BH45">
        <f t="shared" si="53"/>
        <v>0</v>
      </c>
      <c r="BI45">
        <f t="shared" si="54"/>
        <v>0</v>
      </c>
      <c r="BJ45">
        <f t="shared" si="55"/>
        <v>0</v>
      </c>
      <c r="BK45">
        <f t="shared" si="56"/>
        <v>0</v>
      </c>
      <c r="BL45">
        <f t="shared" si="57"/>
        <v>0</v>
      </c>
      <c r="BM45">
        <f t="shared" si="58"/>
        <v>0</v>
      </c>
      <c r="BN45">
        <f t="shared" si="59"/>
        <v>0</v>
      </c>
      <c r="BO45">
        <f t="shared" si="60"/>
        <v>0</v>
      </c>
      <c r="BP45">
        <f t="shared" si="61"/>
        <v>0</v>
      </c>
      <c r="BQ45">
        <f t="shared" si="62"/>
        <v>0</v>
      </c>
      <c r="BT45" cm="1">
        <f t="array" ref="BT45">IF(A45="","",MAX(FREQUENCY(IF(AM45:BQ45=1,COLUMN(AM45:BQ45)),IF(AM45:BQ45=0,COLUMN(AM45:BQ45)))))</f>
        <v>0</v>
      </c>
    </row>
    <row r="46" spans="1:72">
      <c r="A46">
        <f>Dashboard!B64</f>
        <v>0</v>
      </c>
      <c r="B46">
        <f>Dashboard!C64</f>
        <v>0</v>
      </c>
      <c r="C46">
        <f>Dashboard!D64</f>
        <v>0</v>
      </c>
      <c r="D46">
        <f>Dashboard!E64</f>
        <v>0</v>
      </c>
      <c r="E46">
        <f>Dashboard!F64</f>
        <v>0</v>
      </c>
      <c r="F46">
        <f>Dashboard!G64</f>
        <v>0</v>
      </c>
      <c r="AM46">
        <f t="shared" si="32"/>
        <v>0</v>
      </c>
      <c r="AN46">
        <f t="shared" si="33"/>
        <v>0</v>
      </c>
      <c r="AO46">
        <f t="shared" si="34"/>
        <v>0</v>
      </c>
      <c r="AP46">
        <f t="shared" si="35"/>
        <v>0</v>
      </c>
      <c r="AQ46">
        <f t="shared" si="36"/>
        <v>0</v>
      </c>
      <c r="AR46">
        <f t="shared" si="37"/>
        <v>0</v>
      </c>
      <c r="AS46">
        <f t="shared" si="38"/>
        <v>0</v>
      </c>
      <c r="AT46">
        <f t="shared" si="39"/>
        <v>0</v>
      </c>
      <c r="AU46">
        <f t="shared" si="40"/>
        <v>0</v>
      </c>
      <c r="AV46">
        <f t="shared" si="41"/>
        <v>0</v>
      </c>
      <c r="AW46">
        <f t="shared" si="42"/>
        <v>0</v>
      </c>
      <c r="AX46">
        <f t="shared" si="43"/>
        <v>0</v>
      </c>
      <c r="AY46">
        <f t="shared" si="44"/>
        <v>0</v>
      </c>
      <c r="AZ46">
        <f t="shared" si="45"/>
        <v>0</v>
      </c>
      <c r="BA46">
        <f t="shared" si="46"/>
        <v>0</v>
      </c>
      <c r="BB46">
        <f t="shared" si="47"/>
        <v>0</v>
      </c>
      <c r="BC46">
        <f t="shared" si="48"/>
        <v>0</v>
      </c>
      <c r="BD46">
        <f t="shared" si="49"/>
        <v>0</v>
      </c>
      <c r="BE46">
        <f t="shared" si="50"/>
        <v>0</v>
      </c>
      <c r="BF46">
        <f t="shared" si="51"/>
        <v>0</v>
      </c>
      <c r="BG46">
        <f t="shared" si="52"/>
        <v>0</v>
      </c>
      <c r="BH46">
        <f t="shared" si="53"/>
        <v>0</v>
      </c>
      <c r="BI46">
        <f t="shared" si="54"/>
        <v>0</v>
      </c>
      <c r="BJ46">
        <f t="shared" si="55"/>
        <v>0</v>
      </c>
      <c r="BK46">
        <f t="shared" si="56"/>
        <v>0</v>
      </c>
      <c r="BL46">
        <f t="shared" si="57"/>
        <v>0</v>
      </c>
      <c r="BM46">
        <f t="shared" si="58"/>
        <v>0</v>
      </c>
      <c r="BN46">
        <f t="shared" si="59"/>
        <v>0</v>
      </c>
      <c r="BO46">
        <f t="shared" si="60"/>
        <v>0</v>
      </c>
      <c r="BP46">
        <f t="shared" si="61"/>
        <v>0</v>
      </c>
      <c r="BQ46">
        <f t="shared" si="62"/>
        <v>0</v>
      </c>
      <c r="BT46" cm="1">
        <f t="array" ref="BT46">IF(A46="","",MAX(FREQUENCY(IF(AM46:BQ46=1,COLUMN(AM46:BQ46)),IF(AM46:BQ46=0,COLUMN(AM46:BQ46)))))</f>
        <v>0</v>
      </c>
    </row>
    <row r="47" spans="1:72">
      <c r="A47">
        <f>Dashboard!B65</f>
        <v>0</v>
      </c>
      <c r="B47">
        <f>Dashboard!C65</f>
        <v>0</v>
      </c>
      <c r="C47">
        <f>Dashboard!D65</f>
        <v>0</v>
      </c>
      <c r="D47">
        <f>Dashboard!E65</f>
        <v>0</v>
      </c>
      <c r="E47">
        <f>Dashboard!F65</f>
        <v>0</v>
      </c>
      <c r="F47">
        <f>Dashboard!G65</f>
        <v>0</v>
      </c>
      <c r="AM47">
        <f t="shared" si="32"/>
        <v>0</v>
      </c>
      <c r="AN47">
        <f t="shared" si="33"/>
        <v>0</v>
      </c>
      <c r="AO47">
        <f t="shared" si="34"/>
        <v>0</v>
      </c>
      <c r="AP47">
        <f t="shared" si="35"/>
        <v>0</v>
      </c>
      <c r="AQ47">
        <f t="shared" si="36"/>
        <v>0</v>
      </c>
      <c r="AR47">
        <f t="shared" si="37"/>
        <v>0</v>
      </c>
      <c r="AS47">
        <f t="shared" si="38"/>
        <v>0</v>
      </c>
      <c r="AT47">
        <f t="shared" si="39"/>
        <v>0</v>
      </c>
      <c r="AU47">
        <f t="shared" si="40"/>
        <v>0</v>
      </c>
      <c r="AV47">
        <f t="shared" si="41"/>
        <v>0</v>
      </c>
      <c r="AW47">
        <f t="shared" si="42"/>
        <v>0</v>
      </c>
      <c r="AX47">
        <f t="shared" si="43"/>
        <v>0</v>
      </c>
      <c r="AY47">
        <f t="shared" si="44"/>
        <v>0</v>
      </c>
      <c r="AZ47">
        <f t="shared" si="45"/>
        <v>0</v>
      </c>
      <c r="BA47">
        <f t="shared" si="46"/>
        <v>0</v>
      </c>
      <c r="BB47">
        <f t="shared" si="47"/>
        <v>0</v>
      </c>
      <c r="BC47">
        <f t="shared" si="48"/>
        <v>0</v>
      </c>
      <c r="BD47">
        <f t="shared" si="49"/>
        <v>0</v>
      </c>
      <c r="BE47">
        <f t="shared" si="50"/>
        <v>0</v>
      </c>
      <c r="BF47">
        <f t="shared" si="51"/>
        <v>0</v>
      </c>
      <c r="BG47">
        <f t="shared" si="52"/>
        <v>0</v>
      </c>
      <c r="BH47">
        <f t="shared" si="53"/>
        <v>0</v>
      </c>
      <c r="BI47">
        <f t="shared" si="54"/>
        <v>0</v>
      </c>
      <c r="BJ47">
        <f t="shared" si="55"/>
        <v>0</v>
      </c>
      <c r="BK47">
        <f t="shared" si="56"/>
        <v>0</v>
      </c>
      <c r="BL47">
        <f t="shared" si="57"/>
        <v>0</v>
      </c>
      <c r="BM47">
        <f t="shared" si="58"/>
        <v>0</v>
      </c>
      <c r="BN47">
        <f t="shared" si="59"/>
        <v>0</v>
      </c>
      <c r="BO47">
        <f t="shared" si="60"/>
        <v>0</v>
      </c>
      <c r="BP47">
        <f t="shared" si="61"/>
        <v>0</v>
      </c>
      <c r="BQ47">
        <f t="shared" si="62"/>
        <v>0</v>
      </c>
      <c r="BT47" cm="1">
        <f t="array" ref="BT47">IF(A47="","",MAX(FREQUENCY(IF(AM47:BQ47=1,COLUMN(AM47:BQ47)),IF(AM47:BQ47=0,COLUMN(AM47:BQ47)))))</f>
        <v>0</v>
      </c>
    </row>
    <row r="48" spans="1:72">
      <c r="A48">
        <f>Dashboard!B66</f>
        <v>0</v>
      </c>
      <c r="B48">
        <f>Dashboard!C66</f>
        <v>0</v>
      </c>
      <c r="C48">
        <f>Dashboard!D66</f>
        <v>0</v>
      </c>
      <c r="D48">
        <f>Dashboard!E66</f>
        <v>0</v>
      </c>
      <c r="E48">
        <f>Dashboard!F66</f>
        <v>0</v>
      </c>
      <c r="F48">
        <f>Dashboard!G66</f>
        <v>0</v>
      </c>
      <c r="AM48">
        <f t="shared" si="32"/>
        <v>0</v>
      </c>
      <c r="AN48">
        <f t="shared" si="33"/>
        <v>0</v>
      </c>
      <c r="AO48">
        <f t="shared" si="34"/>
        <v>0</v>
      </c>
      <c r="AP48">
        <f t="shared" si="35"/>
        <v>0</v>
      </c>
      <c r="AQ48">
        <f t="shared" si="36"/>
        <v>0</v>
      </c>
      <c r="AR48">
        <f t="shared" si="37"/>
        <v>0</v>
      </c>
      <c r="AS48">
        <f t="shared" si="38"/>
        <v>0</v>
      </c>
      <c r="AT48">
        <f t="shared" si="39"/>
        <v>0</v>
      </c>
      <c r="AU48">
        <f t="shared" si="40"/>
        <v>0</v>
      </c>
      <c r="AV48">
        <f t="shared" si="41"/>
        <v>0</v>
      </c>
      <c r="AW48">
        <f t="shared" si="42"/>
        <v>0</v>
      </c>
      <c r="AX48">
        <f t="shared" si="43"/>
        <v>0</v>
      </c>
      <c r="AY48">
        <f t="shared" si="44"/>
        <v>0</v>
      </c>
      <c r="AZ48">
        <f t="shared" si="45"/>
        <v>0</v>
      </c>
      <c r="BA48">
        <f t="shared" si="46"/>
        <v>0</v>
      </c>
      <c r="BB48">
        <f t="shared" si="47"/>
        <v>0</v>
      </c>
      <c r="BC48">
        <f t="shared" si="48"/>
        <v>0</v>
      </c>
      <c r="BD48">
        <f t="shared" si="49"/>
        <v>0</v>
      </c>
      <c r="BE48">
        <f t="shared" si="50"/>
        <v>0</v>
      </c>
      <c r="BF48">
        <f t="shared" si="51"/>
        <v>0</v>
      </c>
      <c r="BG48">
        <f t="shared" si="52"/>
        <v>0</v>
      </c>
      <c r="BH48">
        <f t="shared" si="53"/>
        <v>0</v>
      </c>
      <c r="BI48">
        <f t="shared" si="54"/>
        <v>0</v>
      </c>
      <c r="BJ48">
        <f t="shared" si="55"/>
        <v>0</v>
      </c>
      <c r="BK48">
        <f t="shared" si="56"/>
        <v>0</v>
      </c>
      <c r="BL48">
        <f t="shared" si="57"/>
        <v>0</v>
      </c>
      <c r="BM48">
        <f t="shared" si="58"/>
        <v>0</v>
      </c>
      <c r="BN48">
        <f t="shared" si="59"/>
        <v>0</v>
      </c>
      <c r="BO48">
        <f t="shared" si="60"/>
        <v>0</v>
      </c>
      <c r="BP48">
        <f t="shared" si="61"/>
        <v>0</v>
      </c>
      <c r="BQ48">
        <f t="shared" si="62"/>
        <v>0</v>
      </c>
      <c r="BT48" cm="1">
        <f t="array" ref="BT48">IF(A48="","",MAX(FREQUENCY(IF(AM48:BQ48=1,COLUMN(AM48:BQ48)),IF(AM48:BQ48=0,COLUMN(AM48:BQ48)))))</f>
        <v>0</v>
      </c>
    </row>
    <row r="49" spans="1:72">
      <c r="A49">
        <f>Dashboard!B67</f>
        <v>0</v>
      </c>
      <c r="B49">
        <f>Dashboard!C67</f>
        <v>0</v>
      </c>
      <c r="C49">
        <f>Dashboard!D67</f>
        <v>0</v>
      </c>
      <c r="D49">
        <f>Dashboard!E67</f>
        <v>0</v>
      </c>
      <c r="E49">
        <f>Dashboard!F67</f>
        <v>0</v>
      </c>
      <c r="F49">
        <f>Dashboard!G67</f>
        <v>0</v>
      </c>
      <c r="AM49">
        <f t="shared" si="32"/>
        <v>0</v>
      </c>
      <c r="AN49">
        <f t="shared" si="33"/>
        <v>0</v>
      </c>
      <c r="AO49">
        <f t="shared" si="34"/>
        <v>0</v>
      </c>
      <c r="AP49">
        <f t="shared" si="35"/>
        <v>0</v>
      </c>
      <c r="AQ49">
        <f t="shared" si="36"/>
        <v>0</v>
      </c>
      <c r="AR49">
        <f t="shared" si="37"/>
        <v>0</v>
      </c>
      <c r="AS49">
        <f t="shared" si="38"/>
        <v>0</v>
      </c>
      <c r="AT49">
        <f t="shared" si="39"/>
        <v>0</v>
      </c>
      <c r="AU49">
        <f t="shared" si="40"/>
        <v>0</v>
      </c>
      <c r="AV49">
        <f t="shared" si="41"/>
        <v>0</v>
      </c>
      <c r="AW49">
        <f t="shared" si="42"/>
        <v>0</v>
      </c>
      <c r="AX49">
        <f t="shared" si="43"/>
        <v>0</v>
      </c>
      <c r="AY49">
        <f t="shared" si="44"/>
        <v>0</v>
      </c>
      <c r="AZ49">
        <f t="shared" si="45"/>
        <v>0</v>
      </c>
      <c r="BA49">
        <f t="shared" si="46"/>
        <v>0</v>
      </c>
      <c r="BB49">
        <f t="shared" si="47"/>
        <v>0</v>
      </c>
      <c r="BC49">
        <f t="shared" si="48"/>
        <v>0</v>
      </c>
      <c r="BD49">
        <f t="shared" si="49"/>
        <v>0</v>
      </c>
      <c r="BE49">
        <f t="shared" si="50"/>
        <v>0</v>
      </c>
      <c r="BF49">
        <f t="shared" si="51"/>
        <v>0</v>
      </c>
      <c r="BG49">
        <f t="shared" si="52"/>
        <v>0</v>
      </c>
      <c r="BH49">
        <f t="shared" si="53"/>
        <v>0</v>
      </c>
      <c r="BI49">
        <f t="shared" si="54"/>
        <v>0</v>
      </c>
      <c r="BJ49">
        <f t="shared" si="55"/>
        <v>0</v>
      </c>
      <c r="BK49">
        <f t="shared" si="56"/>
        <v>0</v>
      </c>
      <c r="BL49">
        <f t="shared" si="57"/>
        <v>0</v>
      </c>
      <c r="BM49">
        <f t="shared" si="58"/>
        <v>0</v>
      </c>
      <c r="BN49">
        <f t="shared" si="59"/>
        <v>0</v>
      </c>
      <c r="BO49">
        <f t="shared" si="60"/>
        <v>0</v>
      </c>
      <c r="BP49">
        <f t="shared" si="61"/>
        <v>0</v>
      </c>
      <c r="BQ49">
        <f t="shared" si="62"/>
        <v>0</v>
      </c>
      <c r="BT49" cm="1">
        <f t="array" ref="BT49">IF(A49="","",MAX(FREQUENCY(IF(AM49:BQ49=1,COLUMN(AM49:BQ49)),IF(AM49:BQ49=0,COLUMN(AM49:BQ49)))))</f>
        <v>0</v>
      </c>
    </row>
    <row r="50" spans="1:72">
      <c r="A50">
        <f>Dashboard!B68</f>
        <v>0</v>
      </c>
      <c r="B50">
        <f>Dashboard!C68</f>
        <v>0</v>
      </c>
      <c r="C50">
        <f>Dashboard!D68</f>
        <v>0</v>
      </c>
      <c r="D50">
        <f>Dashboard!E68</f>
        <v>0</v>
      </c>
      <c r="E50">
        <f>Dashboard!F68</f>
        <v>0</v>
      </c>
      <c r="F50">
        <f>Dashboard!G68</f>
        <v>0</v>
      </c>
      <c r="AM50">
        <f t="shared" si="32"/>
        <v>0</v>
      </c>
      <c r="AN50">
        <f t="shared" si="33"/>
        <v>0</v>
      </c>
      <c r="AO50">
        <f t="shared" si="34"/>
        <v>0</v>
      </c>
      <c r="AP50">
        <f t="shared" si="35"/>
        <v>0</v>
      </c>
      <c r="AQ50">
        <f t="shared" si="36"/>
        <v>0</v>
      </c>
      <c r="AR50">
        <f t="shared" si="37"/>
        <v>0</v>
      </c>
      <c r="AS50">
        <f t="shared" si="38"/>
        <v>0</v>
      </c>
      <c r="AT50">
        <f t="shared" si="39"/>
        <v>0</v>
      </c>
      <c r="AU50">
        <f t="shared" si="40"/>
        <v>0</v>
      </c>
      <c r="AV50">
        <f t="shared" si="41"/>
        <v>0</v>
      </c>
      <c r="AW50">
        <f t="shared" si="42"/>
        <v>0</v>
      </c>
      <c r="AX50">
        <f t="shared" si="43"/>
        <v>0</v>
      </c>
      <c r="AY50">
        <f t="shared" si="44"/>
        <v>0</v>
      </c>
      <c r="AZ50">
        <f t="shared" si="45"/>
        <v>0</v>
      </c>
      <c r="BA50">
        <f t="shared" si="46"/>
        <v>0</v>
      </c>
      <c r="BB50">
        <f t="shared" si="47"/>
        <v>0</v>
      </c>
      <c r="BC50">
        <f t="shared" si="48"/>
        <v>0</v>
      </c>
      <c r="BD50">
        <f t="shared" si="49"/>
        <v>0</v>
      </c>
      <c r="BE50">
        <f t="shared" si="50"/>
        <v>0</v>
      </c>
      <c r="BF50">
        <f t="shared" si="51"/>
        <v>0</v>
      </c>
      <c r="BG50">
        <f t="shared" si="52"/>
        <v>0</v>
      </c>
      <c r="BH50">
        <f t="shared" si="53"/>
        <v>0</v>
      </c>
      <c r="BI50">
        <f t="shared" si="54"/>
        <v>0</v>
      </c>
      <c r="BJ50">
        <f t="shared" si="55"/>
        <v>0</v>
      </c>
      <c r="BK50">
        <f t="shared" si="56"/>
        <v>0</v>
      </c>
      <c r="BL50">
        <f t="shared" si="57"/>
        <v>0</v>
      </c>
      <c r="BM50">
        <f t="shared" si="58"/>
        <v>0</v>
      </c>
      <c r="BN50">
        <f t="shared" si="59"/>
        <v>0</v>
      </c>
      <c r="BO50">
        <f t="shared" si="60"/>
        <v>0</v>
      </c>
      <c r="BP50">
        <f t="shared" si="61"/>
        <v>0</v>
      </c>
      <c r="BQ50">
        <f t="shared" si="62"/>
        <v>0</v>
      </c>
      <c r="BT50" cm="1">
        <f t="array" ref="BT50">IF(A50="","",MAX(FREQUENCY(IF(AM50:BQ50=1,COLUMN(AM50:BQ50)),IF(AM50:BQ50=0,COLUMN(AM50:BQ50)))))</f>
        <v>0</v>
      </c>
    </row>
    <row r="51" spans="1:72">
      <c r="A51">
        <f>Dashboard!B69</f>
        <v>0</v>
      </c>
      <c r="B51">
        <f>Dashboard!C69</f>
        <v>0</v>
      </c>
      <c r="C51">
        <f>Dashboard!D69</f>
        <v>0</v>
      </c>
      <c r="D51">
        <f>Dashboard!E69</f>
        <v>0</v>
      </c>
      <c r="E51">
        <f>Dashboard!F69</f>
        <v>0</v>
      </c>
      <c r="F51">
        <f>Dashboard!G69</f>
        <v>0</v>
      </c>
      <c r="AM51">
        <f t="shared" si="32"/>
        <v>0</v>
      </c>
      <c r="AN51">
        <f t="shared" si="33"/>
        <v>0</v>
      </c>
      <c r="AO51">
        <f t="shared" si="34"/>
        <v>0</v>
      </c>
      <c r="AP51">
        <f t="shared" si="35"/>
        <v>0</v>
      </c>
      <c r="AQ51">
        <f t="shared" si="36"/>
        <v>0</v>
      </c>
      <c r="AR51">
        <f t="shared" si="37"/>
        <v>0</v>
      </c>
      <c r="AS51">
        <f t="shared" si="38"/>
        <v>0</v>
      </c>
      <c r="AT51">
        <f t="shared" si="39"/>
        <v>0</v>
      </c>
      <c r="AU51">
        <f t="shared" si="40"/>
        <v>0</v>
      </c>
      <c r="AV51">
        <f t="shared" si="41"/>
        <v>0</v>
      </c>
      <c r="AW51">
        <f t="shared" si="42"/>
        <v>0</v>
      </c>
      <c r="AX51">
        <f t="shared" si="43"/>
        <v>0</v>
      </c>
      <c r="AY51">
        <f t="shared" si="44"/>
        <v>0</v>
      </c>
      <c r="AZ51">
        <f t="shared" si="45"/>
        <v>0</v>
      </c>
      <c r="BA51">
        <f t="shared" si="46"/>
        <v>0</v>
      </c>
      <c r="BB51">
        <f t="shared" si="47"/>
        <v>0</v>
      </c>
      <c r="BC51">
        <f t="shared" si="48"/>
        <v>0</v>
      </c>
      <c r="BD51">
        <f t="shared" si="49"/>
        <v>0</v>
      </c>
      <c r="BE51">
        <f t="shared" si="50"/>
        <v>0</v>
      </c>
      <c r="BF51">
        <f t="shared" si="51"/>
        <v>0</v>
      </c>
      <c r="BG51">
        <f t="shared" si="52"/>
        <v>0</v>
      </c>
      <c r="BH51">
        <f t="shared" si="53"/>
        <v>0</v>
      </c>
      <c r="BI51">
        <f t="shared" si="54"/>
        <v>0</v>
      </c>
      <c r="BJ51">
        <f t="shared" si="55"/>
        <v>0</v>
      </c>
      <c r="BK51">
        <f t="shared" si="56"/>
        <v>0</v>
      </c>
      <c r="BL51">
        <f t="shared" si="57"/>
        <v>0</v>
      </c>
      <c r="BM51">
        <f t="shared" si="58"/>
        <v>0</v>
      </c>
      <c r="BN51">
        <f t="shared" si="59"/>
        <v>0</v>
      </c>
      <c r="BO51">
        <f t="shared" si="60"/>
        <v>0</v>
      </c>
      <c r="BP51">
        <f t="shared" si="61"/>
        <v>0</v>
      </c>
      <c r="BQ51">
        <f t="shared" si="62"/>
        <v>0</v>
      </c>
      <c r="BT51" cm="1">
        <f t="array" ref="BT51">IF(A51="","",MAX(FREQUENCY(IF(AM51:BQ51=1,COLUMN(AM51:BQ51)),IF(AM51:BQ51=0,COLUMN(AM51:BQ51)))))</f>
        <v>0</v>
      </c>
    </row>
    <row r="60" spans="1:72" ht="15">
      <c r="A60" s="14" t="s">
        <v>56</v>
      </c>
      <c r="B60" s="14" t="s">
        <v>57</v>
      </c>
      <c r="C60" s="14" t="s">
        <v>58</v>
      </c>
      <c r="D60" s="14" t="s">
        <v>59</v>
      </c>
      <c r="F60" s="14" t="s">
        <v>60</v>
      </c>
      <c r="G60" s="14" t="s">
        <v>61</v>
      </c>
    </row>
    <row r="61" spans="1:72">
      <c r="A61" t="s">
        <v>62</v>
      </c>
      <c r="B61">
        <f>SUMIFS($CA$2:$DE$2,$CA$1:$DE$1,"&gt;="&amp;DATE(Dashboard!$E$5,MATCH(Dashboard!$C$5,Lists!$A$2:$A$13,0),1)+(1-1)*7,$CA$1:$DE$1,"&lt;"&amp;DATE(Dashboard!$E$5,MATCH(Dashboard!$C$5,Lists!$A$2:$A$13,0),1)+1*7)</f>
        <v>5</v>
      </c>
      <c r="C61">
        <f>Dashboard!$B$8*COUNTIFS($CA$1:$DE$1,"&gt;="&amp;DATE(Dashboard!$E$5,MATCH(Dashboard!$C$5,Lists!$A$2:$A$13,0),1)+(1-1)*7,$CA$1:$DE$1,"&lt;"&amp;DATE(Dashboard!$E$5,MATCH(Dashboard!$C$5,Lists!$A$2:$A$13,0),1)+1*7)</f>
        <v>28</v>
      </c>
      <c r="D61" s="13">
        <f t="shared" ref="D61:D66" si="63">IFERROR(B61/C61,0)</f>
        <v>0.17857142857142858</v>
      </c>
      <c r="F61" t="s">
        <v>57</v>
      </c>
      <c r="G61">
        <f>Dashboard!E8</f>
        <v>5</v>
      </c>
    </row>
    <row r="62" spans="1:72">
      <c r="A62" t="s">
        <v>63</v>
      </c>
      <c r="B62">
        <f>SUMIFS($CA$2:$DE$2,$CA$1:$DE$1,"&gt;="&amp;DATE(Dashboard!$E$5,MATCH(Dashboard!$C$5,Lists!$A$2:$A$13,0),1)+(2-1)*7,$CA$1:$DE$1,"&lt;"&amp;DATE(Dashboard!$E$5,MATCH(Dashboard!$C$5,Lists!$A$2:$A$13,0),1)+2*7)</f>
        <v>0</v>
      </c>
      <c r="C62">
        <f>Dashboard!$B$8*COUNTIFS($CA$1:$DE$1,"&gt;="&amp;DATE(Dashboard!$E$5,MATCH(Dashboard!$C$5,Lists!$A$2:$A$13,0),1)+(2-1)*7,$CA$1:$DE$1,"&lt;"&amp;DATE(Dashboard!$E$5,MATCH(Dashboard!$C$5,Lists!$A$2:$A$13,0),1)+2*7)</f>
        <v>28</v>
      </c>
      <c r="D62" s="13">
        <f t="shared" si="63"/>
        <v>0</v>
      </c>
      <c r="F62" t="s">
        <v>64</v>
      </c>
      <c r="G62">
        <f>Dashboard!H8</f>
        <v>119</v>
      </c>
    </row>
    <row r="63" spans="1:72">
      <c r="A63" t="s">
        <v>65</v>
      </c>
      <c r="B63">
        <f>SUMIFS($CA$2:$DE$2,$CA$1:$DE$1,"&gt;="&amp;DATE(Dashboard!$E$5,MATCH(Dashboard!$C$5,Lists!$A$2:$A$13,0),1)+(3-1)*7,$CA$1:$DE$1,"&lt;"&amp;DATE(Dashboard!$E$5,MATCH(Dashboard!$C$5,Lists!$A$2:$A$13,0),1)+3*7)</f>
        <v>0</v>
      </c>
      <c r="C63">
        <f>Dashboard!$B$8*COUNTIFS($CA$1:$DE$1,"&gt;="&amp;DATE(Dashboard!$E$5,MATCH(Dashboard!$C$5,Lists!$A$2:$A$13,0),1)+(3-1)*7,$CA$1:$DE$1,"&lt;"&amp;DATE(Dashboard!$E$5,MATCH(Dashboard!$C$5,Lists!$A$2:$A$13,0),1)+3*7)</f>
        <v>28</v>
      </c>
      <c r="D63" s="13">
        <f t="shared" si="63"/>
        <v>0</v>
      </c>
    </row>
    <row r="64" spans="1:72">
      <c r="A64" t="s">
        <v>66</v>
      </c>
      <c r="B64">
        <f>SUMIFS($CA$2:$DE$2,$CA$1:$DE$1,"&gt;="&amp;DATE(Dashboard!$E$5,MATCH(Dashboard!$C$5,Lists!$A$2:$A$13,0),1)+(4-1)*7,$CA$1:$DE$1,"&lt;"&amp;DATE(Dashboard!$E$5,MATCH(Dashboard!$C$5,Lists!$A$2:$A$13,0),1)+4*7)</f>
        <v>0</v>
      </c>
      <c r="C64">
        <f>Dashboard!$B$8*COUNTIFS($CA$1:$DE$1,"&gt;="&amp;DATE(Dashboard!$E$5,MATCH(Dashboard!$C$5,Lists!$A$2:$A$13,0),1)+(4-1)*7,$CA$1:$DE$1,"&lt;"&amp;DATE(Dashboard!$E$5,MATCH(Dashboard!$C$5,Lists!$A$2:$A$13,0),1)+4*7)</f>
        <v>28</v>
      </c>
      <c r="D64" s="13">
        <f t="shared" si="63"/>
        <v>0</v>
      </c>
    </row>
    <row r="65" spans="1:4">
      <c r="A65" t="s">
        <v>67</v>
      </c>
      <c r="B65">
        <f>SUMIFS($CA$2:$DE$2,$CA$1:$DE$1,"&gt;="&amp;DATE(Dashboard!$E$5,MATCH(Dashboard!$C$5,Lists!$A$2:$A$13,0),1)+(5-1)*7,$CA$1:$DE$1,"&lt;"&amp;DATE(Dashboard!$E$5,MATCH(Dashboard!$C$5,Lists!$A$2:$A$13,0),1)+5*7)</f>
        <v>0</v>
      </c>
      <c r="C65">
        <f>Dashboard!$B$8*COUNTIFS($CA$1:$DE$1,"&gt;="&amp;DATE(Dashboard!$E$5,MATCH(Dashboard!$C$5,Lists!$A$2:$A$13,0),1)+(5-1)*7,$CA$1:$DE$1,"&lt;"&amp;DATE(Dashboard!$E$5,MATCH(Dashboard!$C$5,Lists!$A$2:$A$13,0),1)+5*7)</f>
        <v>12</v>
      </c>
      <c r="D65" s="13">
        <f t="shared" si="63"/>
        <v>0</v>
      </c>
    </row>
    <row r="66" spans="1:4">
      <c r="A66" t="s">
        <v>68</v>
      </c>
      <c r="B66">
        <f>SUMIFS($CA$2:$DE$2,$CA$1:$DE$1,"&gt;="&amp;DATE(Dashboard!$E$5,MATCH(Dashboard!$C$5,Lists!$A$2:$A$13,0),1)+(6-1)*7,$CA$1:$DE$1,"&lt;"&amp;DATE(Dashboard!$E$5,MATCH(Dashboard!$C$5,Lists!$A$2:$A$13,0),1)+6*7)</f>
        <v>0</v>
      </c>
      <c r="C66">
        <f>Dashboard!$B$8*COUNTIFS($CA$1:$DE$1,"&gt;="&amp;DATE(Dashboard!$E$5,MATCH(Dashboard!$C$5,Lists!$A$2:$A$13,0),1)+(6-1)*7,$CA$1:$DE$1,"&lt;"&amp;DATE(Dashboard!$E$5,MATCH(Dashboard!$C$5,Lists!$A$2:$A$13,0),1)+6*7)</f>
        <v>0</v>
      </c>
      <c r="D66" s="13">
        <f t="shared" si="6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3"/>
  <sheetViews>
    <sheetView workbookViewId="0">
      <selection activeCell="I9" sqref="I9"/>
    </sheetView>
  </sheetViews>
  <sheetFormatPr defaultRowHeight="14.25"/>
  <cols>
    <col min="1" max="1" width="9.875" bestFit="1" customWidth="1"/>
    <col min="2" max="2" width="10" bestFit="1" customWidth="1"/>
    <col min="3" max="3" width="18" customWidth="1"/>
    <col min="4" max="4" width="5" bestFit="1" customWidth="1"/>
    <col min="5" max="5" width="18" customWidth="1"/>
    <col min="6" max="6" width="7.25" bestFit="1" customWidth="1"/>
    <col min="7" max="7" width="18" customWidth="1"/>
    <col min="8" max="8" width="8.875" bestFit="1" customWidth="1"/>
    <col min="9" max="9" width="18" customWidth="1"/>
    <col min="10" max="10" width="10.25" bestFit="1" customWidth="1"/>
    <col min="11" max="11" width="18" customWidth="1"/>
    <col min="12" max="12" width="6.625" bestFit="1" customWidth="1"/>
    <col min="13" max="13" width="18" customWidth="1"/>
    <col min="14" max="14" width="31.375" bestFit="1" customWidth="1"/>
  </cols>
  <sheetData>
    <row r="1" spans="1:14" ht="15">
      <c r="A1" s="2" t="s">
        <v>3</v>
      </c>
      <c r="B1" s="2" t="s">
        <v>69</v>
      </c>
      <c r="C1" s="2"/>
      <c r="D1" s="2" t="s">
        <v>5</v>
      </c>
      <c r="E1" s="2"/>
      <c r="F1" s="2" t="s">
        <v>23</v>
      </c>
      <c r="G1" s="2"/>
      <c r="H1" s="2" t="s">
        <v>24</v>
      </c>
      <c r="I1" s="2"/>
      <c r="J1" s="2" t="s">
        <v>25</v>
      </c>
      <c r="K1" s="2"/>
      <c r="L1" s="2" t="s">
        <v>60</v>
      </c>
      <c r="M1" s="2"/>
      <c r="N1" s="2" t="s">
        <v>70</v>
      </c>
    </row>
    <row r="2" spans="1:14">
      <c r="A2" t="s">
        <v>71</v>
      </c>
      <c r="B2">
        <v>1</v>
      </c>
      <c r="D2">
        <v>2024</v>
      </c>
      <c r="F2" t="s">
        <v>35</v>
      </c>
      <c r="H2" t="s">
        <v>39</v>
      </c>
      <c r="J2" t="s">
        <v>37</v>
      </c>
      <c r="L2" t="s">
        <v>72</v>
      </c>
      <c r="N2" t="s">
        <v>73</v>
      </c>
    </row>
    <row r="3" spans="1:14">
      <c r="A3" t="s">
        <v>74</v>
      </c>
      <c r="B3">
        <v>2</v>
      </c>
      <c r="D3">
        <v>2025</v>
      </c>
      <c r="F3" t="s">
        <v>42</v>
      </c>
      <c r="H3" t="s">
        <v>36</v>
      </c>
      <c r="J3" t="s">
        <v>46</v>
      </c>
      <c r="L3" t="s">
        <v>75</v>
      </c>
      <c r="N3" t="s">
        <v>76</v>
      </c>
    </row>
    <row r="4" spans="1:14">
      <c r="A4" t="s">
        <v>77</v>
      </c>
      <c r="B4">
        <v>3</v>
      </c>
      <c r="D4">
        <v>2026</v>
      </c>
      <c r="F4" t="s">
        <v>49</v>
      </c>
      <c r="H4" t="s">
        <v>78</v>
      </c>
      <c r="J4" t="s">
        <v>79</v>
      </c>
      <c r="N4" t="s">
        <v>80</v>
      </c>
    </row>
    <row r="5" spans="1:14">
      <c r="A5" t="s">
        <v>81</v>
      </c>
      <c r="B5">
        <v>4</v>
      </c>
      <c r="D5">
        <v>2027</v>
      </c>
      <c r="H5" t="s">
        <v>50</v>
      </c>
      <c r="N5" t="s">
        <v>82</v>
      </c>
    </row>
    <row r="6" spans="1:14">
      <c r="A6" t="s">
        <v>83</v>
      </c>
      <c r="B6">
        <v>5</v>
      </c>
      <c r="D6">
        <v>2028</v>
      </c>
      <c r="H6" t="s">
        <v>45</v>
      </c>
      <c r="N6" t="s">
        <v>84</v>
      </c>
    </row>
    <row r="7" spans="1:14">
      <c r="A7" t="s">
        <v>85</v>
      </c>
      <c r="B7">
        <v>6</v>
      </c>
      <c r="D7">
        <v>2029</v>
      </c>
      <c r="H7" t="s">
        <v>43</v>
      </c>
      <c r="N7" t="s">
        <v>86</v>
      </c>
    </row>
    <row r="8" spans="1:14">
      <c r="A8" t="s">
        <v>4</v>
      </c>
      <c r="B8">
        <v>7</v>
      </c>
      <c r="D8">
        <v>2030</v>
      </c>
      <c r="H8" t="s">
        <v>87</v>
      </c>
      <c r="N8" t="s">
        <v>88</v>
      </c>
    </row>
    <row r="9" spans="1:14">
      <c r="A9" t="s">
        <v>89</v>
      </c>
      <c r="B9">
        <v>8</v>
      </c>
      <c r="D9">
        <v>2031</v>
      </c>
    </row>
    <row r="10" spans="1:14">
      <c r="A10" t="s">
        <v>90</v>
      </c>
      <c r="B10">
        <v>9</v>
      </c>
    </row>
    <row r="11" spans="1:14">
      <c r="A11" t="s">
        <v>91</v>
      </c>
      <c r="B11">
        <v>10</v>
      </c>
    </row>
    <row r="12" spans="1:14">
      <c r="A12" t="s">
        <v>92</v>
      </c>
      <c r="B12">
        <v>11</v>
      </c>
    </row>
    <row r="13" spans="1:14">
      <c r="A13" t="s">
        <v>93</v>
      </c>
      <c r="B1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3"/>
  <sheetViews>
    <sheetView workbookViewId="0">
      <selection activeCell="D1" sqref="D1:D1048576"/>
    </sheetView>
  </sheetViews>
  <sheetFormatPr defaultRowHeight="14.25"/>
  <cols>
    <col min="1" max="2" width="30" customWidth="1"/>
  </cols>
  <sheetData>
    <row r="1" spans="1:2" ht="15">
      <c r="A1" s="1" t="s">
        <v>94</v>
      </c>
      <c r="B1" s="1" t="s">
        <v>95</v>
      </c>
    </row>
    <row r="2" spans="1:2">
      <c r="A2" t="s">
        <v>96</v>
      </c>
      <c r="B2" t="s">
        <v>97</v>
      </c>
    </row>
    <row r="3" spans="1:2">
      <c r="A3" t="s">
        <v>98</v>
      </c>
      <c r="B3" t="s">
        <v>99</v>
      </c>
    </row>
    <row r="4" spans="1:2">
      <c r="A4" t="s">
        <v>100</v>
      </c>
      <c r="B4" t="s">
        <v>101</v>
      </c>
    </row>
    <row r="5" spans="1:2">
      <c r="A5" t="s">
        <v>102</v>
      </c>
      <c r="B5" t="s">
        <v>103</v>
      </c>
    </row>
    <row r="6" spans="1:2">
      <c r="A6" t="s">
        <v>104</v>
      </c>
      <c r="B6" t="s">
        <v>105</v>
      </c>
    </row>
    <row r="7" spans="1:2">
      <c r="A7" t="s">
        <v>106</v>
      </c>
      <c r="B7" t="s">
        <v>107</v>
      </c>
    </row>
    <row r="8" spans="1:2">
      <c r="A8" t="s">
        <v>108</v>
      </c>
      <c r="B8" t="s">
        <v>109</v>
      </c>
    </row>
    <row r="9" spans="1:2">
      <c r="A9" t="s">
        <v>110</v>
      </c>
      <c r="B9" t="s">
        <v>111</v>
      </c>
    </row>
    <row r="10" spans="1:2">
      <c r="A10" t="s">
        <v>112</v>
      </c>
      <c r="B10" t="s">
        <v>113</v>
      </c>
    </row>
    <row r="11" spans="1:2">
      <c r="A11" t="s">
        <v>114</v>
      </c>
      <c r="B11" t="s">
        <v>99</v>
      </c>
    </row>
    <row r="12" spans="1:2">
      <c r="A12" t="s">
        <v>115</v>
      </c>
      <c r="B12" t="s">
        <v>105</v>
      </c>
    </row>
    <row r="13" spans="1:2">
      <c r="A13" t="s">
        <v>116</v>
      </c>
      <c r="B1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Task_Data</vt:lpstr>
      <vt:lpstr>Lists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Ratusaria</dc:creator>
  <cp:lastModifiedBy>Rahul Ratusaria</cp:lastModifiedBy>
  <dcterms:created xsi:type="dcterms:W3CDTF">2026-07-03T20:11:25Z</dcterms:created>
  <dcterms:modified xsi:type="dcterms:W3CDTF">2026-07-03T21:21:28Z</dcterms:modified>
</cp:coreProperties>
</file>